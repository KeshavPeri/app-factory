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etup" sheetId="2" state="visible" r:id="rId4"/>
    <sheet name="App 1" sheetId="3" state="visible" r:id="rId5"/>
    <sheet name="App 2" sheetId="4" state="visible" r:id="rId6"/>
    <sheet name="Documentation" sheetId="5" state="visible" r:id="rId7"/>
    <sheet name="Assumptions" sheetId="6" state="visible" r:id="rId8"/>
    <sheet name="Config" sheetId="7" state="visible" r:id="rId9"/>
  </sheets>
  <definedNames>
    <definedName function="false" hidden="true" localSheetId="2" name="_xlnm._FilterDatabase" vbProcedure="false">'App 1'!$A$2:$L$31</definedName>
    <definedName function="false" hidden="true" localSheetId="3" name="_xlnm._FilterDatabase" vbProcedure="false">'App 2'!$A$2:$L$11</definedName>
    <definedName function="false" hidden="true" localSheetId="4" name="_xlnm._FilterDatabase" vbProcedure="false">Documentation!$A$2:$L$19</definedName>
    <definedName function="false" hidden="true" localSheetId="1" name="_xlnm._FilterDatabase" vbProcedure="false">Setup!$A$2:$L$62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<sst xmlns="http://schemas.openxmlformats.org/spreadsheetml/2006/main" count="1107" uniqueCount="654">
  <si>
    <t xml:space="preserve">APP FACTORY  ·  BUILD DASHBOARD</t>
  </si>
  <si>
    <t xml:space="preserve">Read-only. Every figure is a formula off the four track sheets - change a Status there and this updates.</t>
  </si>
  <si>
    <t xml:space="preserve">WHERE YOU ARE  ·  everything combined</t>
  </si>
  <si>
    <t xml:space="preserve">Level</t>
  </si>
  <si>
    <t xml:space="preserve">XP earned</t>
  </si>
  <si>
    <t xml:space="preserve">Total plan XP</t>
  </si>
  <si>
    <t xml:space="preserve">XP to next level</t>
  </si>
  <si>
    <t xml:space="preserve">Next level</t>
  </si>
  <si>
    <t xml:space="preserve">Overall completion</t>
  </si>
  <si>
    <t xml:space="preserve">Tasks done</t>
  </si>
  <si>
    <t xml:space="preserve">Hours of your time remaining</t>
  </si>
  <si>
    <t xml:space="preserve">Next up, right now</t>
  </si>
  <si>
    <t xml:space="preserve">TRACKS  ·  the four pages, side by side</t>
  </si>
  <si>
    <t xml:space="preserve">Setup is the only one that matters today. The rest are here so you know they exist.</t>
  </si>
  <si>
    <t xml:space="preserve">Track</t>
  </si>
  <si>
    <t xml:space="preserve">Tasks</t>
  </si>
  <si>
    <t xml:space="preserve">Done</t>
  </si>
  <si>
    <t xml:space="preserve">%</t>
  </si>
  <si>
    <t xml:space="preserve">Progress</t>
  </si>
  <si>
    <t xml:space="preserve">Hours left</t>
  </si>
  <si>
    <t xml:space="preserve">Setup</t>
  </si>
  <si>
    <t xml:space="preserve">App 1</t>
  </si>
  <si>
    <t xml:space="preserve">App 2</t>
  </si>
  <si>
    <t xml:space="preserve">Documentation</t>
  </si>
  <si>
    <t xml:space="preserve">SETUP  ·  individual view</t>
  </si>
  <si>
    <t xml:space="preserve">Getting the factory running. This is the only track that matters right now.</t>
  </si>
  <si>
    <t xml:space="preserve">Phase</t>
  </si>
  <si>
    <t xml:space="preserve">Setup - all phases</t>
  </si>
  <si>
    <t xml:space="preserve">XP in this track</t>
  </si>
  <si>
    <t xml:space="preserve">Next up in this track</t>
  </si>
  <si>
    <t xml:space="preserve">APP 1  ·  individual view</t>
  </si>
  <si>
    <t xml:space="preserve">Build FPL through the pipeline, then rewrite the assets from what actually happened.</t>
  </si>
  <si>
    <t xml:space="preserve">App 1 - all phases</t>
  </si>
  <si>
    <t xml:space="preserve">APP 2  ·  individual view</t>
  </si>
  <si>
    <t xml:space="preserve">Fitness planner, running on the revised v1.0 assets.</t>
  </si>
  <si>
    <t xml:space="preserve">App 2 - all phases</t>
  </si>
  <si>
    <t xml:space="preserve">DOCUMENTATION  ·  individual view</t>
  </si>
  <si>
    <t xml:space="preserve">The runbook and the explainer. Both need app #1 to have happened first.</t>
  </si>
  <si>
    <t xml:space="preserve">Documentation - all phases</t>
  </si>
  <si>
    <t xml:space="preserve">BADGES</t>
  </si>
  <si>
    <t xml:space="preserve">Locked badges name their unlock condition. Nothing here is manual.</t>
  </si>
  <si>
    <t xml:space="preserve">Phase 1 complete - environment verified, nothing can silently bill you</t>
  </si>
  <si>
    <t xml:space="preserve">Phase 2 complete - all four v0.1 assets drafted</t>
  </si>
  <si>
    <t xml:space="preserve">Phase 3 complete - repo, board, hosting and design skills wired up</t>
  </si>
  <si>
    <t xml:space="preserve">Phase 5 complete - the routine is configured and fires</t>
  </si>
  <si>
    <t xml:space="preserve">Task 6.7 done - the first agent-written PR is merged and live</t>
  </si>
  <si>
    <t xml:space="preserve">Phase 6 complete - happy path, empty-board exit and Tier-1 block all verified</t>
  </si>
  <si>
    <t xml:space="preserve">The entire Setup track complete - the factory runs while you sleep</t>
  </si>
  <si>
    <t xml:space="preserve">Phase 7 complete - app #1 built through the pipeline</t>
  </si>
  <si>
    <t xml:space="preserve">Phase 8 complete - assets rewritten from what actually happened</t>
  </si>
  <si>
    <t xml:space="preserve">Phase 9 complete - app #2 running on the v1.0 assets</t>
  </si>
  <si>
    <t xml:space="preserve">Phases 10 and 11 complete - runbook and explainer shipped</t>
  </si>
  <si>
    <t xml:space="preserve">SETUP</t>
  </si>
  <si>
    <t xml:space="preserve">Task ID</t>
  </si>
  <si>
    <t xml:space="preserve">Task</t>
  </si>
  <si>
    <t xml:space="preserve">What "done" looks like</t>
  </si>
  <si>
    <t xml:space="preserve">Est. time (mins)</t>
  </si>
  <si>
    <t xml:space="preserve">Difficulty (1-5)</t>
  </si>
  <si>
    <t xml:space="preserve">XP</t>
  </si>
  <si>
    <t xml:space="preserve">Status</t>
  </si>
  <si>
    <t xml:space="preserve">Blocked by</t>
  </si>
  <si>
    <t xml:space="preserve">Notes</t>
  </si>
  <si>
    <t xml:space="preserve">Blocked? (auto)</t>
  </si>
  <si>
    <t xml:space="preserve">Queue rank (auto)</t>
  </si>
  <si>
    <t xml:space="preserve">Phase 0 · Design review</t>
  </si>
  <si>
    <t xml:space="preserve">0.1</t>
  </si>
  <si>
    <t xml:space="preserve">Confirm the v2 design document is the single working reference</t>
  </si>
  <si>
    <t xml:space="preserve">app-factory-system-design-v2.md is saved in the factory repo and no other version is open on the desktop</t>
  </si>
  <si>
    <t xml:space="preserve">Phase 0 is marked done in the source plan — this row is pre-set to Done.</t>
  </si>
  <si>
    <t xml:space="preserve">0.2</t>
  </si>
  <si>
    <t xml:space="preserve">Re-verify current Claude Code Routines behaviour against §4.1</t>
  </si>
  <si>
    <t xml:space="preserve">The Routines docs page has been read today and three facts are confirmed in writing: minimum interval, per-account daily run cap, and the claude/ branch push restriction</t>
  </si>
  <si>
    <t xml:space="preserve">Risk #9: Routines is a research preview. Verify at build time, not from the doc.</t>
  </si>
  <si>
    <t xml:space="preserve">0.3</t>
  </si>
  <si>
    <t xml:space="preserve">Record any Routines deltas since 9 Aug 2026</t>
  </si>
  <si>
    <t xml:space="preserve">A deltas.md file exists in the factory repo listing each difference found, or the single line 'no deltas, checked &lt;date&gt;'</t>
  </si>
  <si>
    <t xml:space="preserve">If a delta breaks a design assumption, resolve it before Phase 4.</t>
  </si>
  <si>
    <t xml:space="preserve">Phase 1 · Environment check</t>
  </si>
  <si>
    <t xml:space="preserve">1.1</t>
  </si>
  <si>
    <t xml:space="preserve">Open Claude Code and run /status</t>
  </si>
  <si>
    <t xml:space="preserve">The /status output is on screen and reports the Pro plan</t>
  </si>
  <si>
    <t xml:space="preserve">§9 risk #2. Do this before anything else touches quota.</t>
  </si>
  <si>
    <t xml:space="preserve">1.2</t>
  </si>
  <si>
    <t xml:space="preserve">Check the shell environment for a stray Anthropic API key</t>
  </si>
  <si>
    <t xml:space="preserve">`env | grep -i anthropic` has been run and its output (empty or not) has been read</t>
  </si>
  <si>
    <t xml:space="preserve">A set ANTHROPIC_API_KEY silently bills the API instead of the subscription.</t>
  </si>
  <si>
    <t xml:space="preserve">1.3</t>
  </si>
  <si>
    <t xml:space="preserve">Unset any stray API key found, in the shell and in the shell profile</t>
  </si>
  <si>
    <t xml:space="preserve">`env | grep -i anthropic` returns nothing in a brand-new terminal window</t>
  </si>
  <si>
    <t xml:space="preserve">Skip and mark Done if 1.2 found nothing. Check ~/.zshrc and ~/.zprofile.</t>
  </si>
  <si>
    <t xml:space="preserve">1.4</t>
  </si>
  <si>
    <t xml:space="preserve">Confirm the GitHub CLI is authenticated</t>
  </si>
  <si>
    <t xml:space="preserve">`gh auth status` prints 'Logged in to github.com' for the intended account</t>
  </si>
  <si>
    <t xml:space="preserve">Already installed per §2; this is a confirmation, not a setup step.</t>
  </si>
  <si>
    <t xml:space="preserve">1.5</t>
  </si>
  <si>
    <t xml:space="preserve">Update Claude Code and confirm the version</t>
  </si>
  <si>
    <t xml:space="preserve">`claude --version` prints a version, and it matches the latest release notes checked today</t>
  </si>
  <si>
    <t xml:space="preserve">Routines behaviour changes between versions.</t>
  </si>
  <si>
    <t xml:space="preserve">1.6</t>
  </si>
  <si>
    <t xml:space="preserve">Write the environment baseline note</t>
  </si>
  <si>
    <t xml:space="preserve">environment-baseline.md exists in the factory repo with plan tier, Claude Code version, gh account and date</t>
  </si>
  <si>
    <t xml:space="preserve">Also needs 1.1 finished. One paragraph. This is what you compare against when something breaks in week three.</t>
  </si>
  <si>
    <t xml:space="preserve">Phase 2 · Provisional v0.1 assets</t>
  </si>
  <si>
    <t xml:space="preserve">2.1</t>
  </si>
  <si>
    <t xml:space="preserve">Create the factory repo and the v0.1 assets folder</t>
  </si>
  <si>
    <t xml:space="preserve">A GitHub repo named app-factory exists with an /assets folder containing a README naming the four v0.1 assets</t>
  </si>
  <si>
    <t xml:space="preserve">The factory repo is separate from each app repo. It holds assets, the runbook and the explainer.</t>
  </si>
  <si>
    <t xml:space="preserve">2.2</t>
  </si>
  <si>
    <t xml:space="preserve">Draft the product brief template skeleton</t>
  </si>
  <si>
    <t xml:space="preserve">assets/product-brief-template.md exists with named, empty sections and a one-line instruction under each</t>
  </si>
  <si>
    <t xml:space="preserve">§12. Explicitly rough — Phase 8 rewrites this from evidence.</t>
  </si>
  <si>
    <t xml:space="preserve">2.3</t>
  </si>
  <si>
    <t xml:space="preserve">Add the in-game currency Tier-3 declaration to the brief template</t>
  </si>
  <si>
    <t xml:space="preserve">The template contains a filled example line declaring in-game currency (FPL budgets, prices, 'bank') as Tier 3</t>
  </si>
  <si>
    <t xml:space="preserve">§3 note 3. Without this the Analyst blocks half the FPL backlog.</t>
  </si>
  <si>
    <t xml:space="preserve">2.4</t>
  </si>
  <si>
    <t xml:space="preserve">Add the personal-data section to the brief template</t>
  </si>
  <si>
    <t xml:space="preserve">The template has a 'What personal data this app may store' section with an explicit 'none' option</t>
  </si>
  <si>
    <t xml:space="preserve">Tier 1 territory. Stating 'none' up front is what stops silent accretion.</t>
  </si>
  <si>
    <t xml:space="preserve">2.5</t>
  </si>
  <si>
    <t xml:space="preserve">Add the external data source field to the brief template</t>
  </si>
  <si>
    <t xml:space="preserve">The template has a 'Chosen external data source' field marked as a Tier-2 high-impact decision requiring a written 'because'</t>
  </si>
  <si>
    <t xml:space="preserve">§3 note 1 — decide it deliberately in the brief, not by the Analyst at 3am.</t>
  </si>
  <si>
    <t xml:space="preserve">2.6</t>
  </si>
  <si>
    <t xml:space="preserve">Draft the ticket template with a definition-of-done field</t>
  </si>
  <si>
    <t xml:space="preserve">assets/ticket-template.md exists and contains a definition-of-done field plus at least one worked example ticket</t>
  </si>
  <si>
    <t xml:space="preserve">§12: definition-of-done folded in from v1's separate template.</t>
  </si>
  <si>
    <t xml:space="preserve">2.7</t>
  </si>
  <si>
    <t xml:space="preserve">Draft a rough design-reference.md</t>
  </si>
  <si>
    <t xml:space="preserve">assets/design-reference.md lists 3-5 named references, each with one line saying what specifically to take from it</t>
  </si>
  <si>
    <t xml:space="preserve">§5.3. Rough is fine here; distinctive is Phase 8's job.</t>
  </si>
  <si>
    <t xml:space="preserve">2.8</t>
  </si>
  <si>
    <t xml:space="preserve">Draft the Analyst subagent definition</t>
  </si>
  <si>
    <t xml:space="preserve">assets/agents/analyst.md exists and states the three escalation tiers verbatim plus the brief-first order of operations</t>
  </si>
  <si>
    <t xml:space="preserve">§4.5. Must include Rule A: tiers classify decisions, not just questions.</t>
  </si>
  <si>
    <t xml:space="preserve">2.9</t>
  </si>
  <si>
    <t xml:space="preserve">Draft the Builder subagent definition</t>
  </si>
  <si>
    <t xml:space="preserve">assets/agents/builder.md exists and names the claude/ticket-&lt;n&gt;-&lt;slug&gt; branch convention and the baseline-design-only rule</t>
  </si>
  <si>
    <t xml:space="preserve">§5.4: normal build tickets use frontend-design + design-reference only.</t>
  </si>
  <si>
    <t xml:space="preserve">2.10</t>
  </si>
  <si>
    <t xml:space="preserve">Draft the QA subagent definition with the five-part PR packet</t>
  </si>
  <si>
    <t xml:space="preserve">assets/agents/qa.md exists and lists all five packet items in order, preview URL first</t>
  </si>
  <si>
    <t xml:space="preserve">§4.8. A packet missing an item is a QA-definition bug, not a process failure.</t>
  </si>
  <si>
    <t xml:space="preserve">2.11</t>
  </si>
  <si>
    <t xml:space="preserve">Draft the orchestrator routine prompt</t>
  </si>
  <si>
    <t xml:space="preserve">assets/orchestrator-prompt.md exists and contains all four encoded behaviours: cheap-exit, stale-card recovery, Tier-1-blocks-ticket-not-run, inline decisions-log appending</t>
  </si>
  <si>
    <t xml:space="preserve">Also needs 2.8, 2.9 finished. §12. Check each of the four off by name before marking Done.</t>
  </si>
  <si>
    <t xml:space="preserve">2.12</t>
  </si>
  <si>
    <t xml:space="preserve">Close the timebox and label the assets v0.1</t>
  </si>
  <si>
    <t xml:space="preserve">Every file in /assets carries a 'v0.1 — provisional, revised at Phase 8' header line and the work has stopped</t>
  </si>
  <si>
    <t xml:space="preserve">One session, timeboxed. Polishing theory here is a quota burn Phase 8 undoes.</t>
  </si>
  <si>
    <t xml:space="preserve">Phase 3 · Infrastructure setup</t>
  </si>
  <si>
    <t xml:space="preserve">3.1</t>
  </si>
  <si>
    <t xml:space="preserve">Create the GitHub repo for the FPL app</t>
  </si>
  <si>
    <t xml:space="preserve">github.com/&lt;you&gt;/fpl-advisor exists and is cloned locally</t>
  </si>
  <si>
    <t xml:space="preserve">One repo per app (§4.1).</t>
  </si>
  <si>
    <t xml:space="preserve">3.2</t>
  </si>
  <si>
    <t xml:space="preserve">Add README and a CLAUDE.md stub to the app repo</t>
  </si>
  <si>
    <t xml:space="preserve">Both files are committed to main and CLAUDE.md names the branch convention claude/ticket-&lt;n&gt;-&lt;slug&gt;</t>
  </si>
  <si>
    <t xml:space="preserve">Every routine run starts from zero context — CLAUDE.md is how it gets any.</t>
  </si>
  <si>
    <t xml:space="preserve">3.3</t>
  </si>
  <si>
    <t xml:space="preserve">Create decisions.md with its two sections</t>
  </si>
  <si>
    <t xml:space="preserve">decisions.md is committed containing the HIGH-IMPACT and ROUTINE headings and one example entry with a 'because'</t>
  </si>
  <si>
    <t xml:space="preserve">§4.6. The example entry is what teaches the format.</t>
  </si>
  <si>
    <t xml:space="preserve">3.4</t>
  </si>
  <si>
    <t xml:space="preserve">Create the GitHub project board</t>
  </si>
  <si>
    <t xml:space="preserve">A project board is linked to the fpl-advisor repo and opens from the repo's Projects tab</t>
  </si>
  <si>
    <t xml:space="preserve">3.5</t>
  </si>
  <si>
    <t xml:space="preserve">Configure the five board columns</t>
  </si>
  <si>
    <t xml:space="preserve">The board shows exactly: Ready, In progress, For review, Done, Blocked</t>
  </si>
  <si>
    <t xml:space="preserve">§4.3. Four working columns plus Blocked — do not re-add Building/QA/Review.</t>
  </si>
  <si>
    <t xml:space="preserve">3.6</t>
  </si>
  <si>
    <t xml:space="preserve">Turn the ticket template into a GitHub issue template</t>
  </si>
  <si>
    <t xml:space="preserve">.github/ISSUE_TEMPLATE/ticket.md is committed and appears in the 'New issue' picker</t>
  </si>
  <si>
    <t xml:space="preserve">Also needs 2.6 finished.</t>
  </si>
  <si>
    <t xml:space="preserve">3.7</t>
  </si>
  <si>
    <t xml:space="preserve">Scaffold the PWA</t>
  </si>
  <si>
    <t xml:space="preserve">The repo builds locally and serves a page with a valid manifest.json and registered service worker</t>
  </si>
  <si>
    <t xml:space="preserve">§4.1: one codebase, iPhone home screen + laptop browser. No App Store.</t>
  </si>
  <si>
    <t xml:space="preserve">3.8</t>
  </si>
  <si>
    <t xml:space="preserve">Install the scaffolded PWA to the iPhone home screen</t>
  </si>
  <si>
    <t xml:space="preserve">The app icon is on the iPhone home screen and opens without Safari chrome</t>
  </si>
  <si>
    <t xml:space="preserve">Do this now, not after app #1 — an install failure found late is expensive.</t>
  </si>
  <si>
    <t xml:space="preserve">3.9</t>
  </si>
  <si>
    <t xml:space="preserve">Connect the repo to Vercel and deploy</t>
  </si>
  <si>
    <t xml:space="preserve">The Vercel production URL loads the scaffolded app</t>
  </si>
  <si>
    <t xml:space="preserve">Creating the Vercel account is an owner-only action (Tier 1).</t>
  </si>
  <si>
    <t xml:space="preserve">3.10</t>
  </si>
  <si>
    <t xml:space="preserve">Verify a PR preview URL is generated</t>
  </si>
  <si>
    <t xml:space="preserve">A throwaway PR has been opened and its Vercel preview URL loads the changed page on the phone</t>
  </si>
  <si>
    <t xml:space="preserve">§4.8: the preview URL is load-bearing for phone review. Prove it works.</t>
  </si>
  <si>
    <t xml:space="preserve">3.11</t>
  </si>
  <si>
    <t xml:space="preserve">Create the Supabase project</t>
  </si>
  <si>
    <t xml:space="preserve">A Supabase project exists and its dashboard shows the project URL and anon key</t>
  </si>
  <si>
    <t xml:space="preserve">Owner-only account creation. Agents never do this.</t>
  </si>
  <si>
    <t xml:space="preserve">3.12</t>
  </si>
  <si>
    <t xml:space="preserve">Put the Supabase keys into Vercel environment variables</t>
  </si>
  <si>
    <t xml:space="preserve">A deployed preview successfully reads from Supabase without any key committed to the repo</t>
  </si>
  <si>
    <t xml:space="preserve">Also needs 3.10 finished. §7: static-only hosting has nowhere to hide keys — this is why Vercel.</t>
  </si>
  <si>
    <t xml:space="preserve">3.13</t>
  </si>
  <si>
    <t xml:space="preserve">Read the Impeccable SKILL.md before installing</t>
  </si>
  <si>
    <t xml:space="preserve">The SKILL.md text has been read end to end and anything surprising is noted in decisions.md</t>
  </si>
  <si>
    <t xml:space="preserve">§5.5. These are prompt files that enter the agent's working context.</t>
  </si>
  <si>
    <t xml:space="preserve">3.14</t>
  </si>
  <si>
    <t xml:space="preserve">Install Impeccable and run /impeccable init</t>
  </si>
  <si>
    <t xml:space="preserve">PRODUCT.md and DESIGN.md exist in the app repo, generated by init</t>
  </si>
  <si>
    <t xml:space="preserve">Also needs 3.7 finished. §5.2. Primary design layer. Do not also install a Taste Skill variant.</t>
  </si>
  <si>
    <t xml:space="preserve">3.15</t>
  </si>
  <si>
    <t xml:space="preserve">Read and install emil-design-eng from the official repo</t>
  </si>
  <si>
    <t xml:space="preserve">The skill is installed from github.com/emilkowalski/skills and appears in the installed skills list</t>
  </si>
  <si>
    <t xml:space="preserve">§5.1: beware third-party imitations under similar names.</t>
  </si>
  <si>
    <t xml:space="preserve">3.16</t>
  </si>
  <si>
    <t xml:space="preserve">Verify the installed design skill set</t>
  </si>
  <si>
    <t xml:space="preserve">The skills list shows exactly frontend-design, Impeccable and emil-design-eng — no Taste Skill variant</t>
  </si>
  <si>
    <t xml:space="preserve">Also needs 3.14 finished. §5.2: swap, never stack.</t>
  </si>
  <si>
    <t xml:space="preserve">Phase 4 · Agent &amp; skill definitions</t>
  </si>
  <si>
    <t xml:space="preserve">4.1</t>
  </si>
  <si>
    <t xml:space="preserve">Create the .claude/agents directory in the app repo</t>
  </si>
  <si>
    <t xml:space="preserve">The directory exists on main and is visible on GitHub</t>
  </si>
  <si>
    <t xml:space="preserve">4.2</t>
  </si>
  <si>
    <t xml:space="preserve">Commit the Analyst definition to the app repo</t>
  </si>
  <si>
    <t xml:space="preserve">.claude/agents/analyst.md is on main and the escalation tiers in it match §4.5 word for word</t>
  </si>
  <si>
    <t xml:space="preserve">Also needs 2.8 finished.</t>
  </si>
  <si>
    <t xml:space="preserve">4.3</t>
  </si>
  <si>
    <t xml:space="preserve">Commit the Builder definition to the app repo</t>
  </si>
  <si>
    <t xml:space="preserve">.claude/agents/builder.md is on main and names the branch convention and the baseline-design-only rule</t>
  </si>
  <si>
    <t xml:space="preserve">Also needs 2.9 finished.</t>
  </si>
  <si>
    <t xml:space="preserve">4.4</t>
  </si>
  <si>
    <t xml:space="preserve">Commit the QA definition to the app repo</t>
  </si>
  <si>
    <t xml:space="preserve">.claude/agents/qa.md is on main and its PR packet section lists five numbered items</t>
  </si>
  <si>
    <t xml:space="preserve">Also needs 2.10 finished.</t>
  </si>
  <si>
    <t xml:space="preserve">4.5</t>
  </si>
  <si>
    <t xml:space="preserve">Write the full CLAUDE.md for the app repo</t>
  </si>
  <si>
    <t xml:space="preserve">CLAUDE.md states the branch convention, the board column names, where decisions.md lives, and the design-pass rule</t>
  </si>
  <si>
    <t xml:space="preserve">This is the file that gives every fresh routine session its context.</t>
  </si>
  <si>
    <t xml:space="preserve">4.6</t>
  </si>
  <si>
    <t xml:space="preserve">Commit escalation.md and reference it from every agent definition</t>
  </si>
  <si>
    <t xml:space="preserve">escalation.md is on main with all three tiers plus Rules A and B, and all three agent files link to it</t>
  </si>
  <si>
    <t xml:space="preserve">Also needs 4.2, 4.3 finished. One copy of the tiers, referenced — not three copies to drift apart.</t>
  </si>
  <si>
    <t xml:space="preserve">4.7</t>
  </si>
  <si>
    <t xml:space="preserve">Dry-run each subagent once interactively</t>
  </si>
  <si>
    <t xml:space="preserve">Each of Analyst, Builder and QA has been invoked once in an interactive session and produced sane output, logged in decisions.md</t>
  </si>
  <si>
    <t xml:space="preserve">Cheaper to find a broken definition here than at 3am.</t>
  </si>
  <si>
    <t xml:space="preserve">Phase 5 · Configure the routine</t>
  </si>
  <si>
    <t xml:space="preserve">5.1</t>
  </si>
  <si>
    <t xml:space="preserve">Open the Routines dashboard</t>
  </si>
  <si>
    <t xml:space="preserve">claude.ai/code/routines is open and shows the fpl-advisor repo as connectable</t>
  </si>
  <si>
    <t xml:space="preserve">Not started</t>
  </si>
  <si>
    <t xml:space="preserve">§4.1 — no CLI needed for this.</t>
  </si>
  <si>
    <t xml:space="preserve">5.2</t>
  </si>
  <si>
    <t xml:space="preserve">Create the routine with the orchestrator prompt</t>
  </si>
  <si>
    <t xml:space="preserve">A routine exists whose prompt is the full text of assets/orchestrator-prompt.md</t>
  </si>
  <si>
    <t xml:space="preserve">Also needs 2.11 finished.</t>
  </si>
  <si>
    <t xml:space="preserve">5.3</t>
  </si>
  <si>
    <t xml:space="preserve">Set the schedule to 2-3 runs per week</t>
  </si>
  <si>
    <t xml:space="preserve">The routine shows a schedule of 2-3 fixed nights per week and the next run time is visible</t>
  </si>
  <si>
    <t xml:space="preserve">§6. Nightly is a Later upgrade earned by observed headroom, not assumed.</t>
  </si>
  <si>
    <t xml:space="preserve">5.4</t>
  </si>
  <si>
    <t xml:space="preserve">Confirm repo access and the claude/ branch prefix restriction</t>
  </si>
  <si>
    <t xml:space="preserve">The routine's settings show write access to fpl-advisor and the claude/ push restriction is either confirmed or explicitly relaxed</t>
  </si>
  <si>
    <t xml:space="preserve">§4.1: match the default rather than fighting it.</t>
  </si>
  <si>
    <t xml:space="preserve">5.5</t>
  </si>
  <si>
    <t xml:space="preserve">Record the per-account daily run cap</t>
  </si>
  <si>
    <t xml:space="preserve">The current daily run cap is written into environment-baseline.md with the date checked</t>
  </si>
  <si>
    <t xml:space="preserve">Research preview — this number moves.</t>
  </si>
  <si>
    <t xml:space="preserve">5.6</t>
  </si>
  <si>
    <t xml:space="preserve">Trigger one manual run and confirm the routine fires</t>
  </si>
  <si>
    <t xml:space="preserve">A session log exists for a manually triggered run and it shows the routine started and terminated cleanly</t>
  </si>
  <si>
    <t xml:space="preserve">Board can be empty for this — you are testing the trigger, not the loop.</t>
  </si>
  <si>
    <t xml:space="preserve">Phase 6 · Smoke test</t>
  </si>
  <si>
    <t xml:space="preserve">6.1</t>
  </si>
  <si>
    <t xml:space="preserve">Write a throwaway smoke-test ticket</t>
  </si>
  <si>
    <t xml:space="preserve">An issue exists using the ticket template, scoped to a trivial visible change, with a filled definition-of-done</t>
  </si>
  <si>
    <t xml:space="preserve">Trivial on purpose. You are testing the pipeline, not the app.</t>
  </si>
  <si>
    <t xml:space="preserve">6.2</t>
  </si>
  <si>
    <t xml:space="preserve">Lint the smoke ticket in an evening interactive session</t>
  </si>
  <si>
    <t xml:space="preserve">The Analyst has read the ticket, flagged ambiguities, and the ticket has been edited or explicitly passed</t>
  </si>
  <si>
    <t xml:space="preserve">Also needs 4.7 finished. §4.7. Linting never runs inside the routine.</t>
  </si>
  <si>
    <t xml:space="preserve">6.3</t>
  </si>
  <si>
    <t xml:space="preserve">Queue the smoke ticket in Ready and wait for the run</t>
  </si>
  <si>
    <t xml:space="preserve">The card sits at the top of Ready and the next run time is confirmed on the routines dashboard</t>
  </si>
  <si>
    <t xml:space="preserve">Also needs 5.3 finished.</t>
  </si>
  <si>
    <t xml:space="preserve">6.4</t>
  </si>
  <si>
    <t xml:space="preserve">Read the session log the morning after the smoke run</t>
  </si>
  <si>
    <t xml:space="preserve">The full session log has been read and each subagent invocation can be pointed to in it</t>
  </si>
  <si>
    <t xml:space="preserve">This is also your first practice at reading a log — Phase 10 documents it.</t>
  </si>
  <si>
    <t xml:space="preserve">6.5</t>
  </si>
  <si>
    <t xml:space="preserve">Verify the draft PR opened correctly</t>
  </si>
  <si>
    <t xml:space="preserve">A draft PR exists from a claude/ticket-&lt;n&gt;-&lt;slug&gt; branch and the card is in For review</t>
  </si>
  <si>
    <t xml:space="preserve">6.6</t>
  </si>
  <si>
    <t xml:space="preserve">Verify the PR review packet has all five parts</t>
  </si>
  <si>
    <t xml:space="preserve">All five §4.8 items are present in the PR description, preview URL on the first line</t>
  </si>
  <si>
    <t xml:space="preserve">Missing item = fix the QA definition, then re-run. Do not fix it by hand.</t>
  </si>
  <si>
    <t xml:space="preserve">6.7</t>
  </si>
  <si>
    <t xml:space="preserve">Merge the smoke PR and confirm production deploy</t>
  </si>
  <si>
    <t xml:space="preserve">The PR is merged, the card is in Done, and the Vercel production URL shows the change</t>
  </si>
  <si>
    <t xml:space="preserve">First merge. This is the badge.</t>
  </si>
  <si>
    <t xml:space="preserve">6.8</t>
  </si>
  <si>
    <t xml:space="preserve">Run the empty-board cheap-exit test</t>
  </si>
  <si>
    <t xml:space="preserve">A run has fired with Ready empty and its log shows a one-line 'nothing queued' note and immediate termination</t>
  </si>
  <si>
    <t xml:space="preserve">§4.4 1a. Confirm it did NOT load the brief or repo first.</t>
  </si>
  <si>
    <t xml:space="preserve">6.9</t>
  </si>
  <si>
    <t xml:space="preserve">Run the Tier-1 block test</t>
  </si>
  <si>
    <t xml:space="preserve">A deliberately Tier-1 ticket has landed in Blocked with a one-line question, and the log shows the run continued to the next Ready ticket</t>
  </si>
  <si>
    <t xml:space="preserve">§4.5 Rule B. Queue a second harmless ticket alongside it so you can see the run continue.</t>
  </si>
  <si>
    <t xml:space="preserve">6.10</t>
  </si>
  <si>
    <t xml:space="preserve">Fix any agent-definition bug the smoke test exposed</t>
  </si>
  <si>
    <t xml:space="preserve">Every issue found in 6.4-6.9 is either fixed in the agent definitions and re-tested, or written into decisions.md as accepted</t>
  </si>
  <si>
    <t xml:space="preserve">Fix definitions, never one-off outputs.</t>
  </si>
  <si>
    <t xml:space="preserve">APP 1</t>
  </si>
  <si>
    <t xml:space="preserve">Phase 7 · Build app #1 (FPL)</t>
  </si>
  <si>
    <t xml:space="preserve">7.1</t>
  </si>
  <si>
    <t xml:space="preserve">Write the FPL product brief from the template</t>
  </si>
  <si>
    <t xml:space="preserve">product-brief.md is committed to fpl-advisor with every template section filled, including the Tier-3 currency declaration</t>
  </si>
  <si>
    <t xml:space="preserve">Also needs 2.5 finished. The Analyst holds this. Spec quality is the real bottleneck (risk #3).</t>
  </si>
  <si>
    <t xml:space="preserve">7.2</t>
  </si>
  <si>
    <t xml:space="preserve">Choose the FPL data source and document the graceful failure path</t>
  </si>
  <si>
    <t xml:space="preserve">The brief names one data source with a written 'because', and states what the app shows when the feed breaks</t>
  </si>
  <si>
    <t xml:space="preserve">§3 notes 1-2. Unofficial, undocumented API — expect breakage.</t>
  </si>
  <si>
    <t xml:space="preserve">7.3</t>
  </si>
  <si>
    <t xml:space="preserve">Draft the FPL v1 ticket backlog</t>
  </si>
  <si>
    <t xml:space="preserve">8-12 issues exist using the ticket template, each with a definition-of-done, ordered in Ready</t>
  </si>
  <si>
    <t xml:space="preserve">Order so a usable thing exists early.</t>
  </si>
  <si>
    <t xml:space="preserve">7.4</t>
  </si>
  <si>
    <t xml:space="preserve">Lint ticket batch 1</t>
  </si>
  <si>
    <t xml:space="preserve">The first two tickets have been through an Analyst lint pass, including the Tier-1 scope check, and edited</t>
  </si>
  <si>
    <t xml:space="preserve">§4.5 Rule A: the lint pass checks scope, not just wording.</t>
  </si>
  <si>
    <t xml:space="preserve">7.5</t>
  </si>
  <si>
    <t xml:space="preserve">Queue batch 1 and confirm Ready order</t>
  </si>
  <si>
    <t xml:space="preserve">The two linted tickets sit at the top of Ready in the intended order</t>
  </si>
  <si>
    <t xml:space="preserve">§6: 2 tickets per run.</t>
  </si>
  <si>
    <t xml:space="preserve">7.6</t>
  </si>
  <si>
    <t xml:space="preserve">Morning review, run 1</t>
  </si>
  <si>
    <t xml:space="preserve">Each PR from run 1 has been opened on the phone, the preview tapped and the feature used, then merged or bounced with a written sentence</t>
  </si>
  <si>
    <t xml:space="preserve">Target 10-15 minutes. If you can't say what you merged, the gate has failed (risk #7).</t>
  </si>
  <si>
    <t xml:space="preserve">7.7</t>
  </si>
  <si>
    <t xml:space="preserve">Morning review, run 2</t>
  </si>
  <si>
    <t xml:space="preserve">Same as run 1: previews used, PRs merged or bounced with a written sentence</t>
  </si>
  <si>
    <t xml:space="preserve">7.8</t>
  </si>
  <si>
    <t xml:space="preserve">Morning review, run 3</t>
  </si>
  <si>
    <t xml:space="preserve">7.9</t>
  </si>
  <si>
    <t xml:space="preserve">Handle the first real Blocked card</t>
  </si>
  <si>
    <t xml:space="preserve">The Tier-1 question on the card has been answered in a comment and the card returned to Ready</t>
  </si>
  <si>
    <t xml:space="preserve">Answerable from the phone. If it isn't, the question was written wrong.</t>
  </si>
  <si>
    <t xml:space="preserve">7.10</t>
  </si>
  <si>
    <t xml:space="preserve">Handle the first revision-cap failure</t>
  </si>
  <si>
    <t xml:space="preserve">A ticket that hit the 2-revision cap has been re-specced or split, and the reason is written in decisions.md</t>
  </si>
  <si>
    <t xml:space="preserve">Cap failures are usually spec failures, not model failures.</t>
  </si>
  <si>
    <t xml:space="preserve">7.11</t>
  </si>
  <si>
    <t xml:space="preserve">Handle the first stale-card recovery</t>
  </si>
  <si>
    <t xml:space="preserve">A card stranded by a dead run has been resolved per §4.4 2a, and the partial branch either resumed, restarted or deleted</t>
  </si>
  <si>
    <t xml:space="preserve">If this never happens, mark Done and note 'not observed'.</t>
  </si>
  <si>
    <t xml:space="preserve">7.12</t>
  </si>
  <si>
    <t xml:space="preserve">Lint and queue ticket batch 2</t>
  </si>
  <si>
    <t xml:space="preserve">The next two tickets are linted and queued in Ready</t>
  </si>
  <si>
    <t xml:space="preserve">7.13</t>
  </si>
  <si>
    <t xml:space="preserve">Run a polish ticket using Impeccable</t>
  </si>
  <si>
    <t xml:space="preserve">A polish-type ticket has shipped a PR whose packet names which Impeccable detector rules fired</t>
  </si>
  <si>
    <t xml:space="preserve">§5.4. Heavy design skills only inside polish tickets.</t>
  </si>
  <si>
    <t xml:space="preserve">7.14</t>
  </si>
  <si>
    <t xml:space="preserve">Run a motion polish ticket using emil-design-eng</t>
  </si>
  <si>
    <t xml:space="preserve">A second polish ticket has shipped with at least one animation added and a stated reason for the curve chosen</t>
  </si>
  <si>
    <t xml:space="preserve">Motion pass comes after a UI exists, not alongside it.</t>
  </si>
  <si>
    <t xml:space="preserve">7.15</t>
  </si>
  <si>
    <t xml:space="preserve">Do the weekly quota check</t>
  </si>
  <si>
    <t xml:space="preserve">A line in environment-baseline.md records, for each week, whether any usage limit was hit</t>
  </si>
  <si>
    <t xml:space="preserve">§11: nightly cadence unlocks after two weeks with no collisions.</t>
  </si>
  <si>
    <t xml:space="preserve">7.16</t>
  </si>
  <si>
    <t xml:space="preserve">Audit decisions.md against the health signal</t>
  </si>
  <si>
    <t xml:space="preserve">The high-impact entries per run night have been counted and compared against the ~5 threshold, with the count written down</t>
  </si>
  <si>
    <t xml:space="preserve">§4.6: regularly over ~5 means the Analyst has gone loose.</t>
  </si>
  <si>
    <t xml:space="preserve">7.17</t>
  </si>
  <si>
    <t xml:space="preserve">Install the FPL app and use it for a full gameweek</t>
  </si>
  <si>
    <t xml:space="preserve">The PWA is on the iPhone home screen and has been opened on at least three separate days</t>
  </si>
  <si>
    <t xml:space="preserve">Using it is how you find what the tickets missed.</t>
  </si>
  <si>
    <t xml:space="preserve">7.18</t>
  </si>
  <si>
    <t xml:space="preserve">Declare app #1 Done-mostly</t>
  </si>
  <si>
    <t xml:space="preserve">The Ready column is empty of v1 tickets and a written note says what was consciously left out</t>
  </si>
  <si>
    <t xml:space="preserve">§11: this is the trigger for a second app in flight.</t>
  </si>
  <si>
    <t xml:space="preserve">Phase 8 · Retrospective &amp; asset revision</t>
  </si>
  <si>
    <t xml:space="preserve">8.1</t>
  </si>
  <si>
    <t xml:space="preserve">Read every session log from app #1 and list the failures</t>
  </si>
  <si>
    <t xml:space="preserve">A retro-notes file lists every run, its outcome, and the cause of each failure</t>
  </si>
  <si>
    <t xml:space="preserve">Phase 8 is the point of the whole sequence.</t>
  </si>
  <si>
    <t xml:space="preserve">8.2</t>
  </si>
  <si>
    <t xml:space="preserve">Write the retro: what the v0.1 assets got wrong</t>
  </si>
  <si>
    <t xml:space="preserve">The retro notes name, per asset, at least one concrete thing it got wrong and the evidence for it</t>
  </si>
  <si>
    <t xml:space="preserve">'Nothing was wrong' means you didn't look hard enough.</t>
  </si>
  <si>
    <t xml:space="preserve">8.3</t>
  </si>
  <si>
    <t xml:space="preserve">Revise the product brief template to v1.0</t>
  </si>
  <si>
    <t xml:space="preserve">assets/product-brief-template.md is committed with a v1.0 header and a changelog of what changed and why</t>
  </si>
  <si>
    <t xml:space="preserve">8.4</t>
  </si>
  <si>
    <t xml:space="preserve">Revise the ticket template to v1.0</t>
  </si>
  <si>
    <t xml:space="preserve">assets/ticket-template.md is committed at v1.0 with a changelog</t>
  </si>
  <si>
    <t xml:space="preserve">8.5</t>
  </si>
  <si>
    <t xml:space="preserve">Revise the four agent definitions to v1.0</t>
  </si>
  <si>
    <t xml:space="preserve">All four files (analyst, builder, qa, orchestrator prompt) are committed at v1.0 with changelogs</t>
  </si>
  <si>
    <t xml:space="preserve">The orchestrator prompt's four encoded behaviours must still all be present.</t>
  </si>
  <si>
    <t xml:space="preserve">8.6</t>
  </si>
  <si>
    <t xml:space="preserve">Rewrite design-reference.md properly</t>
  </si>
  <si>
    <t xml:space="preserve">The file names 3-5 references with a specific line each, and points at two screens in app #1 that came out generic</t>
  </si>
  <si>
    <t xml:space="preserve">§5.3: skills alone give generic-but-slightly-better. Grounding is the fix.</t>
  </si>
  <si>
    <t xml:space="preserve">8.7</t>
  </si>
  <si>
    <t xml:space="preserve">Write the decisions-log conventions</t>
  </si>
  <si>
    <t xml:space="preserve">assets/decisions-log-conventions.md exists and states the mandatory 'because' rule and the ~5/night health signal</t>
  </si>
  <si>
    <t xml:space="preserve">§12 Phase 8 deliverable.</t>
  </si>
  <si>
    <t xml:space="preserve">8.8</t>
  </si>
  <si>
    <t xml:space="preserve">Write the definition-of-done conventions</t>
  </si>
  <si>
    <t xml:space="preserve">The ticket template's definition-of-done field has a written standard plus three real examples taken from app #1</t>
  </si>
  <si>
    <t xml:space="preserve">8.9</t>
  </si>
  <si>
    <t xml:space="preserve">Write the 'starting a new app' checklist</t>
  </si>
  <si>
    <t xml:space="preserve">assets/new-app-checklist.md lists every step from empty repo to first queued ticket, in order</t>
  </si>
  <si>
    <t xml:space="preserve">Also needs 8.3 finished. Phase 9 is the test of this file.</t>
  </si>
  <si>
    <t xml:space="preserve">8.10</t>
  </si>
  <si>
    <t xml:space="preserve">Write the per-project playbook</t>
  </si>
  <si>
    <t xml:space="preserve">assets/project-playbook.md exists describing the per-app cadence, review ritual and escalation handling</t>
  </si>
  <si>
    <t xml:space="preserve">8.11</t>
  </si>
  <si>
    <t xml:space="preserve">Review the V1/Later ledger against what happened</t>
  </si>
  <si>
    <t xml:space="preserve">Each §11 Later item is marked triggered or not triggered, with the evidence in one line</t>
  </si>
  <si>
    <t xml:space="preserve">Nightly cadence, Reviewer reinstatement, stitch-design-taste swap, revision cap 3.</t>
  </si>
  <si>
    <t xml:space="preserve">APP 2</t>
  </si>
  <si>
    <t xml:space="preserve">Phase 9 · App #2 (fitness planner)</t>
  </si>
  <si>
    <t xml:space="preserve">9.1</t>
  </si>
  <si>
    <t xml:space="preserve">Create the fitness app repo and board from the checklist</t>
  </si>
  <si>
    <t xml:space="preserve">A repo and a five-column board exist, created by following new-app-checklist.md without improvising</t>
  </si>
  <si>
    <t xml:space="preserve">Follow the checklist literally — deviations are checklist bugs.</t>
  </si>
  <si>
    <t xml:space="preserve">9.2</t>
  </si>
  <si>
    <t xml:space="preserve">Reuse the v1.0 assets unchanged where they apply</t>
  </si>
  <si>
    <t xml:space="preserve">A written list says, per asset, reused-unchanged or re-specced, with a reason for each re-spec</t>
  </si>
  <si>
    <t xml:space="preserve">This list is also the raw material for the Phase 10 'adding app two' section.</t>
  </si>
  <si>
    <t xml:space="preserve">9.3</t>
  </si>
  <si>
    <t xml:space="preserve">Write the fitness product brief with its personal-data statement</t>
  </si>
  <si>
    <t xml:space="preserve">product-brief.md states explicitly what body and workout data may be stored, before any ticket is written</t>
  </si>
  <si>
    <t xml:space="preserve">§3: workout and body data is Tier 1 personal data. State it up front.</t>
  </si>
  <si>
    <t xml:space="preserve">9.4</t>
  </si>
  <si>
    <t xml:space="preserve">Decide the workout data model deliberately</t>
  </si>
  <si>
    <t xml:space="preserve">The data model decision is written in decisions.md under HIGH-IMPACT with a 'because' tied to the brief</t>
  </si>
  <si>
    <t xml:space="preserve">§4.6 example: per-exercise vs per-session. Expensive to reverse later.</t>
  </si>
  <si>
    <t xml:space="preserve">9.5</t>
  </si>
  <si>
    <t xml:space="preserve">Set up Vercel and Supabase for app #2</t>
  </si>
  <si>
    <t xml:space="preserve">A preview deploy of the scaffolded app reads from its own Supabase project</t>
  </si>
  <si>
    <t xml:space="preserve">Separate Supabase project — do not share the FPL instance.</t>
  </si>
  <si>
    <t xml:space="preserve">9.6</t>
  </si>
  <si>
    <t xml:space="preserve">Configure the routine for app #2</t>
  </si>
  <si>
    <t xml:space="preserve">A routine targets the fitness repo and its next run time is visible on the dashboard</t>
  </si>
  <si>
    <t xml:space="preserve">§11: only run two apps in flight once cadence headroom is proven.</t>
  </si>
  <si>
    <t xml:space="preserve">9.7</t>
  </si>
  <si>
    <t xml:space="preserve">Smoke-test app #2 end to end</t>
  </si>
  <si>
    <t xml:space="preserve">One throwaway ticket has gone from Ready to merged, and the empty-board exit has fired once</t>
  </si>
  <si>
    <t xml:space="preserve">Shorter than Phase 6 — you already trust the mechanism, you are testing this repo's wiring.</t>
  </si>
  <si>
    <t xml:space="preserve">9.8</t>
  </si>
  <si>
    <t xml:space="preserve">Queue the first real batch for app #2</t>
  </si>
  <si>
    <t xml:space="preserve">Two linted tickets sit in Ready and the first run has fired against them</t>
  </si>
  <si>
    <t xml:space="preserve">9.9</t>
  </si>
  <si>
    <t xml:space="preserve">Patch the new-app checklist from what actually happened</t>
  </si>
  <si>
    <t xml:space="preserve">new-app-checklist.md is committed at v1.1 with every deviation from Phase 9 folded in</t>
  </si>
  <si>
    <t xml:space="preserve">The checklist only becomes true by being used once.</t>
  </si>
  <si>
    <t xml:space="preserve">DOCUMENTATION</t>
  </si>
  <si>
    <t xml:space="preserve">Phase 10 · Operating guide</t>
  </si>
  <si>
    <t xml:space="preserve">10.1</t>
  </si>
  <si>
    <t xml:space="preserve">Create the operating guide skeleton in the factory repo</t>
  </si>
  <si>
    <t xml:space="preserve">OPERATING-GUIDE.md exists on main with the five section headings and nothing else</t>
  </si>
  <si>
    <t xml:space="preserve">PRODUCTION SPEC (Operating guide) — Markdown runbook, committed to the factory repo as OPERATING-GUIDE.md. Target ~2 pages total across all sections; be ruthless. A runbook nobody rereads goes stale and then actively misleads, so cut anything you would not actually reread at 8am. Written only after app #1 has shipped, from what actually happened — not from theory.</t>
  </si>
  <si>
    <t xml:space="preserve">10.2</t>
  </si>
  <si>
    <t xml:space="preserve">Write the daily loop section</t>
  </si>
  <si>
    <t xml:space="preserve">The section states what you do each morning, what you look for in a draft PR, and gives a concrete example of 'good' versus 'send it back'</t>
  </si>
  <si>
    <t xml:space="preserve">10.3</t>
  </si>
  <si>
    <t xml:space="preserve">Write the failure playbook section</t>
  </si>
  <si>
    <t xml:space="preserve">The section has a named entry for each of: routine didn't fire, routine burned its run without producing a PR, tests fail repeatedly, BA agent escalated while you were away, daily routine cap hit — each with a first action</t>
  </si>
  <si>
    <t xml:space="preserve">PRODUCTION SPEC (Operating guide) — Markdown runbook, committed to the factory repo as OPERATING-GUIDE.md. Target ~2 pages total across all sections; be ruthless. A runbook nobody rereads goes stale and then actively misleads, so cut anything you would not actually reread at 8am. Written only after app #1 has shipped, from what actually happened — not from theory. This section carries the most weight — it is what you read at 8am when something is wrong.</t>
  </si>
  <si>
    <t xml:space="preserve">10.4</t>
  </si>
  <si>
    <t xml:space="preserve">Write the 'adding app number two' section</t>
  </si>
  <si>
    <t xml:space="preserve">The section gives the exact ordered sequence and a two-column list of v0.1 assets reused unchanged versus re-specced</t>
  </si>
  <si>
    <t xml:space="preserve">Also needs 10.1 finished. PRODUCTION SPEC (Operating guide) — Markdown runbook, committed to the factory repo as OPERATING-GUIDE.md. Target ~2 pages total across all sections; be ruthless. A runbook nobody rereads goes stale and then actively misleads, so cut anything you would not actually reread at 8am. Written only after app #1 has shipped, from what actually happened — not from theory.</t>
  </si>
  <si>
    <t xml:space="preserve">10.5</t>
  </si>
  <si>
    <t xml:space="preserve">Write the 'where every asset lives' section</t>
  </si>
  <si>
    <t xml:space="preserve">The section locates CLAUDE.md, the subagent definitions, the BA escalation tiers, the design guidance and the issue templates, and says when to edit each</t>
  </si>
  <si>
    <t xml:space="preserve">10.6</t>
  </si>
  <si>
    <t xml:space="preserve">Write the 'how to read a session log' section</t>
  </si>
  <si>
    <t xml:space="preserve">The section walks one real log from app #1 and points at the three places you check first when something looks wrong</t>
  </si>
  <si>
    <t xml:space="preserve">10.7</t>
  </si>
  <si>
    <t xml:space="preserve">Cut the guide to roughly two pages</t>
  </si>
  <si>
    <t xml:space="preserve">The rendered markdown is at or under two pages and every remaining line survived the question 'would I reread this?'</t>
  </si>
  <si>
    <t xml:space="preserve">Also needs 10.2, 10.3, 10.4, 10.5 finished. PRODUCTION SPEC (Operating guide) — Markdown runbook, committed to the factory repo as OPERATING-GUIDE.md. Target ~2 pages total across all sections; be ruthless. A runbook nobody rereads goes stale and then actively misleads, so cut anything you would not actually reread at 8am. Written only after app #1 has shipped, from what actually happened — not from theory. Length is the spec, not a nice-to-have.</t>
  </si>
  <si>
    <t xml:space="preserve">10.8</t>
  </si>
  <si>
    <t xml:space="preserve">Commit the guide and link it from CLAUDE.md</t>
  </si>
  <si>
    <t xml:space="preserve">OPERATING-GUIDE.md is on main and both app repos' CLAUDE.md files link to it</t>
  </si>
  <si>
    <t xml:space="preserve">Phase 11 · System explainer (PDF)</t>
  </si>
  <si>
    <t xml:space="preserve">11.1</t>
  </si>
  <si>
    <t xml:space="preserve">Sketch the architecture flow on paper</t>
  </si>
  <si>
    <t xml:space="preserve">A rough sketch exists showing trigger → routine → subagents → PR → you, with the BA agent and both escalation fire points marked</t>
  </si>
  <si>
    <t xml:space="preserve">PRODUCTION SPEC (System explainer PDF) — ~6 pages. Dark background, Georgia, gold accent (#C9A227) to match this workbook. Use the pdf skill. Reader profile: knows what GitHub is, has never used Claude Code. Before shipping, verify EVERY page for text clipping, dark-on-dark text, and diagram legibility at 100% zoom. Written only after app #1 has shipped.</t>
  </si>
  <si>
    <t xml:space="preserve">11.2</t>
  </si>
  <si>
    <t xml:space="preserve">Produce the architecture diagram asset</t>
  </si>
  <si>
    <t xml:space="preserve">A diagram file exists rendering the full flow, with the BA agent's position and the Tier 1 and Tier 2 fire points labelled</t>
  </si>
  <si>
    <t xml:space="preserve">PRODUCTION SPEC (System explainer PDF) — ~6 pages. Dark background, Georgia, gold accent (#C9A227) to match this workbook. Use the pdf skill. Reader profile: knows what GitHub is, has never used Claude Code. Before shipping, verify EVERY page for text clipping, dark-on-dark text, and diagram legibility at 100% zoom. Written only after app #1 has shipped. Legibility at 100% zoom is a hard requirement — test it before moving on.</t>
  </si>
  <si>
    <t xml:space="preserve">11.3</t>
  </si>
  <si>
    <t xml:space="preserve">Write the component explanations</t>
  </si>
  <si>
    <t xml:space="preserve">Every box in the diagram has a plain-language paragraph saying what it is and why it is there, readable by someone who has never used Claude Code</t>
  </si>
  <si>
    <t xml:space="preserve">11.4</t>
  </si>
  <si>
    <t xml:space="preserve">Write the constraints section</t>
  </si>
  <si>
    <t xml:space="preserve">The section names all four shaping constraints: Pro subscription only, no API, the daily routine cap, and quota shared with normal Claude usage</t>
  </si>
  <si>
    <t xml:space="preserve">11.5</t>
  </si>
  <si>
    <t xml:space="preserve">Write the decisions-and-rejections section</t>
  </si>
  <si>
    <t xml:space="preserve">Each of subagents over agent teams, cloud routines over a local loop, and browser over CLI is stated with the reason it was chosen</t>
  </si>
  <si>
    <t xml:space="preserve">PRODUCTION SPEC (System explainer PDF) — ~6 pages. Dark background, Georgia, gold accent (#C9A227) to match this workbook. Use the pdf skill. Reader profile: knows what GitHub is, has never used Claude Code. Before shipping, verify EVERY page for text clipping, dark-on-dark text, and diagram legibility at 100% zoom. Written only after app #1 has shipped. Purpose: stop future-you relitigating settled decisions.</t>
  </si>
  <si>
    <t xml:space="preserve">11.6</t>
  </si>
  <si>
    <t xml:space="preserve">Write the 'if I moved to a higher plan' section</t>
  </si>
  <si>
    <t xml:space="preserve">The section names what would change at Max, drawn from the §11 Later ledger</t>
  </si>
  <si>
    <t xml:space="preserve">11.7</t>
  </si>
  <si>
    <t xml:space="preserve">Build the PDF with the pdf skill</t>
  </si>
  <si>
    <t xml:space="preserve">A PDF exists, dark background, Georgia throughout, gold accent, containing all five content sections and the diagram</t>
  </si>
  <si>
    <t xml:space="preserve">Also needs 11.2, 11.3, 11.4, 11.5 finished. PRODUCTION SPEC (System explainer PDF) — ~6 pages. Dark background, Georgia, gold accent (#C9A227) to match this workbook. Use the pdf skill. Reader profile: knows what GitHub is, has never used Claude Code. Before shipping, verify EVERY page for text clipping, dark-on-dark text, and diagram legibility at 100% zoom. Written only after app #1 has shipped.</t>
  </si>
  <si>
    <t xml:space="preserve">11.8</t>
  </si>
  <si>
    <t xml:space="preserve">Verify every page at 100% zoom</t>
  </si>
  <si>
    <t xml:space="preserve">Every page has been viewed at 100% zoom and checked for clipped text, dark-on-dark text and diagram legibility, with findings written down</t>
  </si>
  <si>
    <t xml:space="preserve">PRODUCTION SPEC (System explainer PDF) — ~6 pages. Dark background, Georgia, gold accent (#C9A227) to match this workbook. Use the pdf skill. Reader profile: knows what GitHub is, has never used Claude Code. Before shipping, verify EVERY page for text clipping, dark-on-dark text, and diagram legibility at 100% zoom. Written only after app #1 has shipped. Check every page, not a sample.</t>
  </si>
  <si>
    <t xml:space="preserve">11.9</t>
  </si>
  <si>
    <t xml:space="preserve">Trim to about six pages and store it in the factory repo</t>
  </si>
  <si>
    <t xml:space="preserve">The final PDF is around six pages and is committed to the factory repo alongside the operating guide</t>
  </si>
  <si>
    <t xml:space="preserve">ASSUMPTIONS  ·  every decision made while building this workbook</t>
  </si>
  <si>
    <t xml:space="preserve">You asked for no clarifying questions. These are the calls made instead, and why.</t>
  </si>
  <si>
    <t xml:space="preserve">#</t>
  </si>
  <si>
    <t xml:space="preserve">Area</t>
  </si>
  <si>
    <t xml:space="preserve">Assumption</t>
  </si>
  <si>
    <t xml:space="preserve">Reasoning</t>
  </si>
  <si>
    <t xml:space="preserve">Structure</t>
  </si>
  <si>
    <t xml:space="preserve">The workplan is split across four sheets - Setup, App 1, App 2, Documentation - instead of one long list.</t>
  </si>
  <si>
    <t xml:space="preserve">115 rows and 68 hours in one view was overwhelming, and setup is the immediate goal. Split, the Setup sheet is 60 rows and about 29 hours, which is the only number that applies to you this week.</t>
  </si>
  <si>
    <t xml:space="preserve">Setup holds Phases 0-6; App 1 holds Phases 7-8; App 2 holds Phase 9; Documentation holds Phases 10-11.</t>
  </si>
  <si>
    <t xml:space="preserve">Phase 8 is the retrospective on app #1 and can only be written from app #1's evidence, so it belongs with it rather than as its own track.</t>
  </si>
  <si>
    <t xml:space="preserve">Phase order, task content, estimates and XP are unchanged from the first version - only the grouping across sheets is new.</t>
  </si>
  <si>
    <t xml:space="preserve">The source plan's phase structure was preserved exactly and there was no reason to disturb it while changing the layout.</t>
  </si>
  <si>
    <t xml:space="preserve">Dependencies</t>
  </si>
  <si>
    <t xml:space="preserve">'Blocked by' holds exactly one Task ID, which may live on any of the four track sheets - the lookup searches all four. Where a task genuinely had several prerequisites, the latest one is named and the others are preserved as an 'Also needs ...' line at the front of the Notes column.</t>
  </si>
  <si>
    <t xml:space="preserve">A single ID keeps the formula free of array functions, which do not survive verification. Naming the latest prerequisite means the row unblocks at the right moment, and the Notes line means nothing is lost.</t>
  </si>
  <si>
    <t xml:space="preserve">Dashboard</t>
  </si>
  <si>
    <t xml:space="preserve">The Dashboard opens with a combined block, then a four-row track comparison, then one individual view per track with its own phase table, totals, XP and next-up.</t>
  </si>
  <si>
    <t xml:space="preserve">You asked for individual views plus a combined one. The combined block answers 'what now'; the track views answer 'how is each part going'.</t>
  </si>
  <si>
    <t xml:space="preserve">The combined 'Next up' walks the tracks in order and returns the first available task from the first incomplete track.</t>
  </si>
  <si>
    <t xml:space="preserve">Setup comes first, so until Setup is finished the Dashboard will never point you at app or documentation work.</t>
  </si>
  <si>
    <t xml:space="preserve">Visual</t>
  </si>
  <si>
    <t xml:space="preserve">Nothing in this workbook is bold. Hierarchy comes from size, colour and rules instead.</t>
  </si>
  <si>
    <t xml:space="preserve">You said Georgia does not look good bolded. Headers are larger and cool blue; figures are teal; body is cool slate.</t>
  </si>
  <si>
    <t xml:space="preserve">The palette is cool throughout - near-black #121519, panels #1B2027, cool slate text #CBD5E1, cool blue #8FB8DE and teal #7FC8C0 for emphasis.</t>
  </si>
  <si>
    <t xml:space="preserve">You asked for dark mode with cool colours for the font. The Blocked state uses a cool rose rather than a warm red so it stays in the same family while still reading as a warning.</t>
  </si>
  <si>
    <t xml:space="preserve">Scope</t>
  </si>
  <si>
    <t xml:space="preserve">The workplan preserves the source plan's Phases 0-9 exactly as written in §10 — same order, same names, nothing merged or invented — and appends the Operating guide and System explainer as Phases 10 and 11.</t>
  </si>
  <si>
    <t xml:space="preserve">You asked for the phase structure preserved exactly and the two documentation phases appended last.</t>
  </si>
  <si>
    <t xml:space="preserve">Phase 0 is included even though the source marks it done, and its first task is pre-set to Status = Done.</t>
  </si>
  <si>
    <t xml:space="preserve">Dropping it would break the phase numbering you asked to preserve. The other two Phase 0 tasks are real work: risk #9 says re-verify Routines behaviour at build time rather than trusting the document.</t>
  </si>
  <si>
    <t xml:space="preserve">Task size</t>
  </si>
  <si>
    <t xml:space="preserve">Every task is estimated at 90 minutes or under; the largest are 80 minutes.</t>
  </si>
  <si>
    <t xml:space="preserve">You asked for decomposition to sub-90-minute steps.</t>
  </si>
  <si>
    <t xml:space="preserve">Estimates</t>
  </si>
  <si>
    <t xml:space="preserve">Estimates are of YOUR time, not the agents'. Build tickets in Phase 7 appear as review and queueing tasks because the agents do the building overnight.</t>
  </si>
  <si>
    <t xml:space="preserve">The system's whole premise is 10-15 minutes of owner involvement per run night. Estimating agent wall-clock time would make the plan meaningless.</t>
  </si>
  <si>
    <t xml:space="preserve">XP is a formula, not a typed number: XP = the value looked up from the Difficulty→XP table on Config. Change the table and every XP recalculates.</t>
  </si>
  <si>
    <t xml:space="preserve">You asked for XP scaled by difficulty and for everything to be formula-driven.</t>
  </si>
  <si>
    <t xml:space="preserve">The Difficulty→XP curve is superlinear (1→4, 2→7, 3→11, 4→17, 5→25) rather than proportional.</t>
  </si>
  <si>
    <t xml:space="preserve">A hard task should feel disproportionately worth doing. It also lands the total near the ~1000 you asked for.</t>
  </si>
  <si>
    <t xml:space="preserve">Levels</t>
  </si>
  <si>
    <t xml:space="preserve">Eight levels, with thresholds set as fractions of total plan XP so the last level unlocks only at completion.</t>
  </si>
  <si>
    <t xml:space="preserve">You asked for 6-8 named levels. Thresholds live on Config and are editable.</t>
  </si>
  <si>
    <t xml:space="preserve">'Blocked by' holds at most one task ID per row.</t>
  </si>
  <si>
    <t xml:space="preserve">Multiple comma-separated IDs would need array formulas that LibreOffice and older Excel handle inconsistently. Where a task genuinely has several prerequisites the latest one is named, which is the one that actually gates it.</t>
  </si>
  <si>
    <t xml:space="preserve">Next up</t>
  </si>
  <si>
    <t xml:space="preserve">'Next up' is the first task in sheet order that is not Done and whose blocker (if any) is Done. Sheet order is the priority order.</t>
  </si>
  <si>
    <t xml:space="preserve">The plan is already sequenced; a separate priority column would be a second source of truth that could disagree with it.</t>
  </si>
  <si>
    <t xml:space="preserve">Helper columns</t>
  </si>
  <si>
    <t xml:space="preserve">Workplan columns K and L are formula helpers ('Blocked?' and 'Queue rank'). They are visible and labelled, not hidden.</t>
  </si>
  <si>
    <t xml:space="preserve">The next-up and auto-flag features need per-row intermediate values. You asked for lookups to be visible rather than hidden, so these are too. Do not type in them.</t>
  </si>
  <si>
    <t xml:space="preserve">Status values</t>
  </si>
  <si>
    <t xml:space="preserve">Exactly four statuses: Not started, In progress, Blocked, Done — matching the four conditional formats you specified.</t>
  </si>
  <si>
    <t xml:space="preserve">The board in the source plan has five columns, but board columns track tickets; this sheet tracks your setup tasks. They are different objects.</t>
  </si>
  <si>
    <t xml:space="preserve">Blank status</t>
  </si>
  <si>
    <t xml:space="preserve">New or blank status cells are treated as Not started by the phase percentage formulas.</t>
  </si>
  <si>
    <t xml:space="preserve">Otherwise a blank cell would silently inflate completion percentages.</t>
  </si>
  <si>
    <t xml:space="preserve">Badges</t>
  </si>
  <si>
    <t xml:space="preserve">Ten badges, each unlocking on a whole-phase completion except 'First Merge', which unlocks on the single task 6.7 (smoke PR merged).</t>
  </si>
  <si>
    <t xml:space="preserve">You asked for badges including 'first PR merged', which is one specific task, not a phase.</t>
  </si>
  <si>
    <t xml:space="preserve">Locked badges show '· locked ·' plus the unlock condition in grey; unlocked badges show the badge name in gold.</t>
  </si>
  <si>
    <t xml:space="preserve">You asked for greyed placeholder text when locked. Naming the condition makes the badge a goal rather than a mystery.</t>
  </si>
  <si>
    <t xml:space="preserve">Progress bars</t>
  </si>
  <si>
    <t xml:space="preserve">Text bars are 20 characters of █ and ░ built with REPT(), rounded to the nearest character.</t>
  </si>
  <si>
    <t xml:space="preserve">20 characters gives 5% resolution and fits the column width without wrapping.</t>
  </si>
  <si>
    <t xml:space="preserve">Phase 0 seed</t>
  </si>
  <si>
    <t xml:space="preserve">One task is pre-set to Done at delivery, so the Dashboard opens showing a non-zero state.</t>
  </si>
  <si>
    <t xml:space="preserve">A dashboard reading zero on every metric is impossible to sanity-check on first open.</t>
  </si>
  <si>
    <t xml:space="preserve">Content</t>
  </si>
  <si>
    <t xml:space="preserve">No Operating guide and no System explainer PDF were produced in this session — only the task rows for them.</t>
  </si>
  <si>
    <t xml:space="preserve">You said explicitly that the workbook is the only file delivered, and that both documents can only be written after the first app has been built.</t>
  </si>
  <si>
    <t xml:space="preserve">The production specs you gave for both documentation phases are repeated in the Notes column of every row in those phases, not just the first.</t>
  </si>
  <si>
    <t xml:space="preserve">You will read one row at a time weeks from now. A spec that only appears on row one is a spec you will miss.</t>
  </si>
  <si>
    <t xml:space="preserve">Phase 7 framing</t>
  </si>
  <si>
    <t xml:space="preserve">Phase 7 is broken into brief-writing, ticket-writing, per-run morning reviews and named failure-handling tasks rather than one task per app feature.</t>
  </si>
  <si>
    <t xml:space="preserve">The app's feature list is not knowable from the design document, and per §4.7 spec quality — not feature count — is the real bottleneck.</t>
  </si>
  <si>
    <t xml:space="preserve">Phase 7 failure tasks</t>
  </si>
  <si>
    <t xml:space="preserve">Tasks 7.10 and 7.11 assume you will hit a revision-cap failure and a stale card at least once. If neither occurs, mark them Done with a note.</t>
  </si>
  <si>
    <t xml:space="preserve">Both are documented failure modes (§4.4 2a, §4.4 step 6) and the operating guide's failure playbook needs real examples to be written from.</t>
  </si>
  <si>
    <t xml:space="preserve">Tier 1 actions</t>
  </si>
  <si>
    <t xml:space="preserve">Account creation tasks (Vercel, Supabase, GitHub) are yours alone and are written as owner tasks.</t>
  </si>
  <si>
    <t xml:space="preserve">§4.5 Tier 1: creating accounts is an owner-only action, regardless of cost.</t>
  </si>
  <si>
    <t xml:space="preserve">Factory repo</t>
  </si>
  <si>
    <t xml:space="preserve">The plan assumes a separate 'app-factory' repo holding the shared assets, the operating guide and the explainer PDF, distinct from each app repo.</t>
  </si>
  <si>
    <t xml:space="preserve">The source plan says the runbook is 'committed to the factory repo' and §4.1 says one repo per app, so a shared home is implied but never named.</t>
  </si>
  <si>
    <t xml:space="preserve">Design skills</t>
  </si>
  <si>
    <t xml:space="preserve">Impeccable and emil-design-eng are installed in Phase 3, but the tasks that exercise them sit in Phase 7 as polish tickets.</t>
  </si>
  <si>
    <t xml:space="preserve">§5.4: heavy design skills are a per-pass context tax and belong only in polish tickets.</t>
  </si>
  <si>
    <t xml:space="preserve">Every cell in each sheet's used range, including empty padding, carries an explicit dark fill.</t>
  </si>
  <si>
    <t xml:space="preserve">You asked for this specifically so the file does not render white when opened in light mode or printed.</t>
  </si>
  <si>
    <t xml:space="preserve">Formulas</t>
  </si>
  <si>
    <t xml:space="preserve">Only pre-2010 Excel functions are used (COUNTIFS, SUMIFS, INDEX, MATCH, IFERROR, REPT, ROUND).</t>
  </si>
  <si>
    <t xml:space="preserve">XLOOKUP, FILTER and other dynamic-array functions do not survive the LibreOffice verification pass used to check this file, and would ship as broken-name errors instead of values.</t>
  </si>
  <si>
    <t xml:space="preserve">No macros</t>
  </si>
  <si>
    <t xml:space="preserve">The file is .xlsx with no VBA; everything recalculates through native formulas.</t>
  </si>
  <si>
    <t xml:space="preserve">You asked for no macros and no manual recalculation.</t>
  </si>
  <si>
    <t xml:space="preserve">CONFIG  ·  lookup lists, XP rules, level thresholds</t>
  </si>
  <si>
    <t xml:space="preserve">Everything here is live. Edit a value and every sheet follows.</t>
  </si>
  <si>
    <t xml:space="preserve">Difficulty</t>
  </si>
  <si>
    <t xml:space="preserve">XP awarded</t>
  </si>
  <si>
    <t xml:space="preserve">A task's XP is looked up from this table by its Difficulty. Superlinear on purpose.</t>
  </si>
  <si>
    <t xml:space="preserve">In progress</t>
  </si>
  <si>
    <t xml:space="preserve">Blocked</t>
  </si>
  <si>
    <t xml:space="preserve">Est. time bounds (mins)</t>
  </si>
  <si>
    <t xml:space="preserve">Live totals</t>
  </si>
  <si>
    <t xml:space="preserve">Current level index</t>
  </si>
  <si>
    <t xml:space="preserve">Fraction of total XP</t>
  </si>
  <si>
    <t xml:space="preserve">XP threshold</t>
  </si>
  <si>
    <t xml:space="preserve">What it means</t>
  </si>
  <si>
    <t xml:space="preserve">1.  Tinkerer</t>
  </si>
  <si>
    <t xml:space="preserve">You have a document and an idea.</t>
  </si>
  <si>
    <t xml:space="preserve">2.  Apprentice</t>
  </si>
  <si>
    <t xml:space="preserve">Environment verified, nothing can silently bill you.</t>
  </si>
  <si>
    <t xml:space="preserve">3.  Draughtsman</t>
  </si>
  <si>
    <t xml:space="preserve">The four v0.1 assets exist, rough and honest.</t>
  </si>
  <si>
    <t xml:space="preserve">4.  Engineer</t>
  </si>
  <si>
    <t xml:space="preserve">Repo, board, hosting and skills are wired together.</t>
  </si>
  <si>
    <t xml:space="preserve">5.  Operator</t>
  </si>
  <si>
    <t xml:space="preserve">The routine fires and the smoke test has cleared.</t>
  </si>
  <si>
    <t xml:space="preserve">6.  Foreman</t>
  </si>
  <si>
    <t xml:space="preserve">App #1 is shipping through the pipeline.</t>
  </si>
  <si>
    <t xml:space="preserve">7.  Factory Owner</t>
  </si>
  <si>
    <t xml:space="preserve">Two apps, and assets rewritten from evidence.</t>
  </si>
  <si>
    <t xml:space="preserve">8.  Autonomist</t>
  </si>
  <si>
    <t xml:space="preserve">Documented. Someone else could run this.</t>
  </si>
  <si>
    <t xml:space="preserve">Sheet</t>
  </si>
  <si>
    <t xml:space="preserve">First row</t>
  </si>
  <si>
    <t xml:space="preserve">Last row</t>
  </si>
  <si>
    <t xml:space="preserve">Phases</t>
  </si>
  <si>
    <t xml:space="preserve">0, 1, 2, 3, 4, 5, 6</t>
  </si>
  <si>
    <t xml:space="preserve">7, 8</t>
  </si>
  <si>
    <t xml:space="preserve">9</t>
  </si>
  <si>
    <t xml:space="preserve">10, 11</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</si>
</sst>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
  </numFmts>
  <fonts count="21">
    <font>
      <sz val="11"/>
      <color theme="1"/>
      <name val="Calibri"/>
      <family val="2"/>
      <charset val="1"/>
    </font>
    <font>
      <sz val="10"/>
      <name val="Arial"/>
      <family val="0"/>
    </font>
    <font>
      <sz val="10"/>
      <name val="Arial"/>
      <family val="0"/>
    </font>
    <font>
      <sz val="10"/>
      <name val="Arial"/>
      <family val="0"/>
    </font>
    <font>
      <sz val="11.5"/>
      <color rgb="FFCBD5E1"/>
      <name val="Georgia"/>
      <family val="0"/>
      <charset val="1"/>
    </font>
    <font>
      <sz val="21"/>
      <color rgb="FF8FB8DE"/>
      <name val="Georgia"/>
      <family val="0"/>
      <charset val="1"/>
    </font>
    <font>
      <i val="true"/>
      <sz val="10.5"/>
      <color rgb="FF8592A0"/>
      <name val="Georgia"/>
      <family val="0"/>
      <charset val="1"/>
    </font>
    <font>
      <sz val="14"/>
      <color rgb="FF8FB8DE"/>
      <name val="Georgia"/>
      <family val="0"/>
      <charset val="1"/>
    </font>
    <font>
      <sz val="12.5"/>
      <color rgb="FF8FB8DE"/>
      <name val="Georgia"/>
      <family val="0"/>
      <charset val="1"/>
    </font>
    <font>
      <sz val="12.5"/>
      <color rgb="FF7FC8C0"/>
      <name val="Georgia"/>
      <family val="0"/>
      <charset val="1"/>
    </font>
    <font>
      <sz val="12"/>
      <color rgb="FF8FB8DE"/>
      <name val="Georgia"/>
      <family val="0"/>
      <charset val="1"/>
    </font>
    <font>
      <sz val="12.5"/>
      <color rgb="FFA9CEF4"/>
      <name val="Georgia"/>
      <family val="0"/>
      <charset val="1"/>
    </font>
    <font>
      <sz val="11"/>
      <color rgb="FF8FB8DE"/>
      <name val="Georgia"/>
      <family val="0"/>
      <charset val="1"/>
    </font>
    <font>
      <sz val="11.5"/>
      <color rgb="FF8FB8DE"/>
      <name val="Georgia"/>
      <family val="0"/>
      <charset val="1"/>
    </font>
    <font>
      <sz val="11.5"/>
      <color rgb="FF7FC8C0"/>
      <name val="Georgia"/>
      <family val="0"/>
      <charset val="1"/>
    </font>
    <font>
      <sz val="12"/>
      <color rgb="FF7FC8C0"/>
      <name val="Georgia"/>
      <family val="0"/>
      <charset val="1"/>
    </font>
    <font>
      <sz val="11"/>
      <color rgb="FF8592A0"/>
      <name val="Georgia"/>
      <family val="0"/>
      <charset val="1"/>
    </font>
    <font>
      <sz val="12"/>
      <color rgb="FFA9CEF4"/>
      <name val="Georgia"/>
      <family val="0"/>
      <charset val="1"/>
    </font>
    <font>
      <sz val="17"/>
      <color rgb="FF8FB8DE"/>
      <name val="Georgia"/>
      <family val="0"/>
      <charset val="1"/>
    </font>
    <font>
      <i val="true"/>
      <sz val="11"/>
      <color rgb="FF8592A0"/>
      <name val="Georgia"/>
      <family val="0"/>
      <charset val="1"/>
    </font>
    <font>
      <sz val="11.5"/>
      <color rgb="FF8592A0"/>
      <name val="Georgia"/>
      <family val="0"/>
      <charset val="1"/>
    </font>
  </fonts>
  <fills count="5">
    <fill>
      <patternFill patternType="none"/>
    </fill>
    <fill>
      <patternFill patternType="gray125"/>
    </fill>
    <fill>
      <patternFill patternType="solid">
        <fgColor rgb="FF121519"/>
        <bgColor rgb="FF171B21"/>
      </patternFill>
    </fill>
    <fill>
      <patternFill patternType="solid">
        <fgColor rgb="FF1B2027"/>
        <bgColor rgb="FF1B1F25"/>
      </patternFill>
    </fill>
    <fill>
      <patternFill patternType="solid">
        <fgColor rgb="FF171B21"/>
        <bgColor rgb="FF1B1F25"/>
      </patternFill>
    </fill>
  </fills>
  <borders count="4">
    <border diagonalUp="false" diagonalDown="false">
      <left/>
      <right/>
      <top/>
      <bottom/>
      <diagonal/>
    </border>
    <border diagonalUp="false" diagonalDown="false">
      <left/>
      <right/>
      <top/>
      <bottom style="thin">
        <color rgb="FF8FB8DE"/>
      </bottom>
      <diagonal/>
    </border>
    <border diagonalUp="false" diagonalDown="false">
      <left/>
      <right/>
      <top/>
      <bottom style="thin">
        <color rgb="FF2A3038"/>
      </bottom>
      <diagonal/>
    </border>
    <border diagonalUp="false" diagonalDown="false">
      <left/>
      <right/>
      <top style="thin">
        <color rgb="FF2A303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left" vertical="bottom" textRotation="0" wrapText="false" indent="0" shrinkToFit="false"/>
      <protection locked="true" hidden="false"/>
    </xf>
    <xf numFmtId="165" fontId="9" fillId="2" borderId="0" xfId="0" applyFont="true" applyBorder="false" applyAlignment="true" applyProtection="false">
      <alignment horizontal="left" vertical="bottom" textRotation="0" wrapText="false" indent="0" shrinkToFit="false"/>
      <protection locked="true" hidden="false"/>
    </xf>
    <xf numFmtId="166" fontId="9" fillId="2" borderId="0" xfId="0" applyFont="true" applyBorder="false" applyAlignment="true" applyProtection="false">
      <alignment horizontal="lef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7" fontId="9" fillId="2" borderId="0" xfId="0" applyFont="true" applyBorder="false" applyAlignment="true" applyProtection="false">
      <alignment horizontal="left" vertical="bottom"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4" fontId="12" fillId="2" borderId="2" xfId="0" applyFont="true" applyBorder="true" applyAlignment="true" applyProtection="false">
      <alignment horizontal="left" vertical="bottom" textRotation="0" wrapText="false" indent="0" shrinkToFit="false"/>
      <protection locked="true" hidden="false"/>
    </xf>
    <xf numFmtId="164" fontId="12" fillId="2" borderId="2"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8" fontId="4" fillId="2" borderId="0" xfId="0" applyFont="true" applyBorder="fals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7" fontId="4" fillId="2" borderId="0" xfId="0" applyFont="true" applyBorder="false" applyAlignment="true" applyProtection="false">
      <alignment horizontal="center" vertical="bottom" textRotation="0" wrapText="false" indent="0" shrinkToFit="false"/>
      <protection locked="true" hidden="false"/>
    </xf>
    <xf numFmtId="164" fontId="14" fillId="2" borderId="3" xfId="0" applyFont="true" applyBorder="true" applyAlignment="tru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center" vertical="bottom" textRotation="0" wrapText="false" indent="0" shrinkToFit="false"/>
      <protection locked="true" hidden="false"/>
    </xf>
    <xf numFmtId="168" fontId="14" fillId="2" borderId="3" xfId="0" applyFont="true" applyBorder="true" applyAlignment="true" applyProtection="false">
      <alignment horizontal="center" vertical="bottom" textRotation="0" wrapText="false" indent="0" shrinkToFit="false"/>
      <protection locked="true" hidden="false"/>
    </xf>
    <xf numFmtId="164" fontId="15" fillId="2" borderId="3" xfId="0" applyFont="true" applyBorder="true" applyAlignment="true" applyProtection="false">
      <alignment horizontal="general" vertical="bottom" textRotation="0" wrapText="false" indent="0" shrinkToFit="false"/>
      <protection locked="true" hidden="false"/>
    </xf>
    <xf numFmtId="167" fontId="14" fillId="2" borderId="3" xfId="0" applyFont="true" applyBorder="true" applyAlignment="true" applyProtection="false">
      <alignment horizontal="center"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general" vertical="bottom" textRotation="0" wrapText="false" indent="0" shrinkToFit="false"/>
      <protection locked="true" hidden="false"/>
    </xf>
    <xf numFmtId="164" fontId="17" fillId="2" borderId="0" xfId="0" applyFont="true" applyBorder="tru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18" fillId="2" borderId="0"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left" vertical="top" textRotation="0" wrapText="true" indent="0" shrinkToFit="false"/>
      <protection locked="true" hidden="false"/>
    </xf>
    <xf numFmtId="164" fontId="4" fillId="4" borderId="2" xfId="0" applyFont="true" applyBorder="true" applyAlignment="true" applyProtection="false">
      <alignment horizontal="center" vertical="top" textRotation="0" wrapText="false" indent="0" shrinkToFit="false"/>
      <protection locked="true" hidden="false"/>
    </xf>
    <xf numFmtId="165" fontId="4" fillId="4" borderId="2" xfId="0" applyFont="true" applyBorder="true" applyAlignment="true" applyProtection="false">
      <alignment horizontal="center" vertical="top" textRotation="0" wrapText="fals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4" fontId="20" fillId="4" borderId="2" xfId="0" applyFont="true" applyBorder="true" applyAlignment="true" applyProtection="false">
      <alignment horizontal="center" vertical="top" textRotation="0" wrapText="false" indent="0" shrinkToFit="false"/>
      <protection locked="true" hidden="false"/>
    </xf>
    <xf numFmtId="164" fontId="13" fillId="4" borderId="2" xfId="0" applyFont="true" applyBorder="true" applyAlignment="true" applyProtection="false">
      <alignment horizontal="left" vertical="top" textRotation="0" wrapText="true" indent="0" shrinkToFit="false"/>
      <protection locked="true" hidden="false"/>
    </xf>
    <xf numFmtId="164" fontId="20" fillId="4" borderId="2" xfId="0" applyFont="true" applyBorder="true" applyAlignment="true" applyProtection="false">
      <alignment horizontal="left" vertical="top" textRotation="0" wrapText="tru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5" fontId="15" fillId="2"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bottom" textRotation="0" wrapText="false" indent="0" shrinkToFit="false"/>
      <protection locked="true" hidden="false"/>
    </xf>
    <xf numFmtId="168" fontId="4" fillId="2" borderId="0" xfId="0" applyFont="true" applyBorder="false" applyAlignment="true" applyProtection="false">
      <alignment horizontal="general" vertical="bottom" textRotation="0" wrapText="false" indent="0" shrinkToFit="false"/>
      <protection locked="true" hidden="false"/>
    </xf>
    <xf numFmtId="165" fontId="14"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8262A"/>
          <bgColor rgb="FF000000"/>
        </patternFill>
      </fill>
    </dxf>
    <dxf>
      <fill>
        <patternFill patternType="solid">
          <fgColor rgb="FF1B1F25"/>
          <bgColor rgb="FF000000"/>
        </patternFill>
      </fill>
    </dxf>
    <dxf>
      <fill>
        <patternFill patternType="solid">
          <fgColor rgb="FF1B2027"/>
          <bgColor rgb="FF000000"/>
        </patternFill>
      </fill>
    </dxf>
    <dxf>
      <fill>
        <patternFill patternType="solid">
          <fgColor rgb="FF1C2A3D"/>
          <bgColor rgb="FF000000"/>
        </patternFill>
      </fill>
    </dxf>
    <dxf>
      <fill>
        <patternFill patternType="solid">
          <fgColor rgb="FF7FA99C"/>
          <bgColor rgb="FF000000"/>
        </patternFill>
      </fill>
    </dxf>
    <dxf>
      <fill>
        <patternFill patternType="solid">
          <fgColor rgb="FF8FB8DE"/>
          <bgColor rgb="FF000000"/>
        </patternFill>
      </fill>
    </dxf>
    <dxf>
      <fill>
        <patternFill patternType="solid">
          <fgColor rgb="FFA9CEF4"/>
          <bgColor rgb="FF000000"/>
        </patternFill>
      </fill>
    </dxf>
    <dxf>
      <fill>
        <patternFill patternType="solid">
          <fgColor rgb="FFCBD5E1"/>
          <bgColor rgb="FF000000"/>
        </patternFill>
      </fill>
    </dxf>
    <dxf>
      <font>
        <name val="Georgia"/>
        <charset val="1"/>
        <family val="0"/>
        <strike val="0"/>
        <color rgb="FF7FA99C"/>
        <sz val="11"/>
      </font>
      <fill>
        <patternFill>
          <bgColor rgb="FF18262A"/>
        </patternFill>
      </fill>
    </dxf>
    <dxf>
      <font>
        <name val="Georgia"/>
        <charset val="1"/>
        <family val="0"/>
        <strike val="0"/>
        <color rgb="FFA9CEF4"/>
        <sz val="11"/>
      </font>
      <fill>
        <patternFill>
          <bgColor rgb="FF1C2A3D"/>
        </patternFill>
      </fill>
    </dxf>
    <dxf>
      <font>
        <name val="Georgia"/>
        <charset val="1"/>
        <family val="0"/>
        <strike val="0"/>
        <color rgb="FFD9A8BC"/>
        <sz val="11"/>
      </font>
      <fill>
        <patternFill>
          <bgColor rgb="FF2E2028"/>
        </patternFill>
      </fill>
    </dxf>
    <dxf>
      <font>
        <name val="Georgia"/>
        <charset val="1"/>
        <family val="0"/>
        <strike val="0"/>
        <color rgb="FF9AD0E8"/>
        <sz val="11"/>
      </font>
      <fill>
        <patternFill>
          <bgColor rgb="FF1E2C38"/>
        </patternFill>
      </fill>
    </dxf>
    <dxf>
      <font>
        <name val="Georgia"/>
        <charset val="1"/>
        <family val="0"/>
        <strike val="0"/>
        <color rgb="FFCBD5E1"/>
        <sz val="11"/>
      </font>
      <fill>
        <patternFill>
          <bgColor rgb="FF1B1F25"/>
        </patternFill>
      </fill>
    </dxf>
    <dxf>
      <font>
        <name val="Georgia"/>
        <charset val="1"/>
        <family val="0"/>
        <strike val="1"/>
        <color rgb="FF7FA99C"/>
        <sz val="11"/>
      </font>
      <fill>
        <patternFill>
          <bgColor rgb="FF18262A"/>
        </patternFill>
      </fill>
    </dxf>
    <dxf>
      <font>
        <name val="Georgia"/>
        <charset val="1"/>
        <family val="0"/>
        <strike val="0"/>
        <color rgb="FFEBB7C9"/>
        <sz val="11"/>
      </font>
      <fill>
        <patternFill>
          <bgColor rgb="FF3A2430"/>
        </patternFill>
      </fill>
    </dxf>
  </dxfs>
  <colors>
    <indexedColors>
      <rgbColor rgb="FF000000"/>
      <rgbColor rgb="FFFFFFFF"/>
      <rgbColor rgb="FFFF0000"/>
      <rgbColor rgb="FF00FF00"/>
      <rgbColor rgb="FF0000FF"/>
      <rgbColor rgb="FFFFFF00"/>
      <rgbColor rgb="FFFF00FF"/>
      <rgbColor rgb="FF00FFFF"/>
      <rgbColor rgb="FF1B1F25"/>
      <rgbColor rgb="FF008000"/>
      <rgbColor rgb="FF121519"/>
      <rgbColor rgb="FF808000"/>
      <rgbColor rgb="FF800080"/>
      <rgbColor rgb="FF008080"/>
      <rgbColor rgb="FFD9A8BC"/>
      <rgbColor rgb="FF7FA99C"/>
      <rgbColor rgb="FF8FB8DE"/>
      <rgbColor rgb="FF993366"/>
      <rgbColor rgb="FFFFFFCC"/>
      <rgbColor rgb="FFA9CEF4"/>
      <rgbColor rgb="FF3A2430"/>
      <rgbColor rgb="FFFF8080"/>
      <rgbColor rgb="FF0066CC"/>
      <rgbColor rgb="FFCBD5E1"/>
      <rgbColor rgb="FF171B21"/>
      <rgbColor rgb="FFFF00FF"/>
      <rgbColor rgb="FFFFFF00"/>
      <rgbColor rgb="FF00FFFF"/>
      <rgbColor rgb="FF800080"/>
      <rgbColor rgb="FF1B2027"/>
      <rgbColor rgb="FF008080"/>
      <rgbColor rgb="FF0000FF"/>
      <rgbColor rgb="FF00CCFF"/>
      <rgbColor rgb="FFCCFFFF"/>
      <rgbColor rgb="FFCCFFCC"/>
      <rgbColor rgb="FFFFFF99"/>
      <rgbColor rgb="FF9AD0E8"/>
      <rgbColor rgb="FFFF99CC"/>
      <rgbColor rgb="FFCC99FF"/>
      <rgbColor rgb="FFEBB7C9"/>
      <rgbColor rgb="FF3366FF"/>
      <rgbColor rgb="FF7FC8C0"/>
      <rgbColor rgb="FF99CC00"/>
      <rgbColor rgb="FFFFCC00"/>
      <rgbColor rgb="FFFF9900"/>
      <rgbColor rgb="FFFF6600"/>
      <rgbColor rgb="FF666699"/>
      <rgbColor rgb="FF8592A0"/>
      <rgbColor rgb="FF1C2A3D"/>
      <rgbColor rgb="FF339966"/>
      <rgbColor rgb="FF18262A"/>
      <rgbColor rgb="FF2E2028"/>
      <rgbColor rgb="FF993300"/>
      <rgbColor rgb="FF993366"/>
      <rgbColor rgb="FF1E2C38"/>
      <rgbColor rgb="FF2A30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3" min="3" style="1" width="13"/>
    <col collapsed="false" customWidth="true" hidden="false" outlineLevel="0" max="4" min="4" style="1" width="11"/>
    <col collapsed="false" customWidth="true" hidden="false" outlineLevel="0" max="5" min="5" style="1" width="13"/>
    <col collapsed="false" customWidth="true" hidden="false" outlineLevel="0" max="6" min="6" style="1" width="30"/>
    <col collapsed="false" customWidth="true" hidden="false" outlineLevel="0" max="7" min="7" style="1" width="13"/>
  </cols>
  <sheetData>
    <row r="1" customFormat="false" ht="42" hidden="false" customHeight="true" outlineLevel="0" collapsed="false">
      <c r="A1" s="2"/>
      <c r="B1" s="3" t="s">
        <v>0</v>
      </c>
      <c r="C1" s="3"/>
      <c r="D1" s="3"/>
      <c r="E1" s="3"/>
      <c r="F1" s="3"/>
      <c r="G1" s="3"/>
      <c r="H1" s="2"/>
      <c r="I1" s="2"/>
    </row>
    <row r="2" customFormat="false" ht="19.5" hidden="false" customHeight="true" outlineLevel="0" collapsed="false">
      <c r="A2" s="2"/>
      <c r="B2" s="4" t="s">
        <v>1</v>
      </c>
      <c r="C2" s="4"/>
      <c r="D2" s="4"/>
      <c r="E2" s="4"/>
      <c r="F2" s="4"/>
      <c r="G2" s="4"/>
      <c r="H2" s="2"/>
      <c r="I2" s="2"/>
    </row>
    <row r="3" customFormat="false" ht="21.75" hidden="false" customHeight="true" outlineLevel="0" collapsed="false">
      <c r="A3" s="2"/>
      <c r="B3" s="2"/>
      <c r="C3" s="2"/>
      <c r="D3" s="2"/>
      <c r="E3" s="2"/>
      <c r="F3" s="2"/>
      <c r="G3" s="2"/>
      <c r="H3" s="2"/>
      <c r="I3" s="2"/>
    </row>
    <row r="4" customFormat="false" ht="30" hidden="false" customHeight="true" outlineLevel="0" collapsed="false">
      <c r="A4" s="2"/>
      <c r="B4" s="5" t="s">
        <v>2</v>
      </c>
      <c r="C4" s="5"/>
      <c r="D4" s="5"/>
      <c r="E4" s="5"/>
      <c r="F4" s="5"/>
      <c r="G4" s="5"/>
      <c r="H4" s="2"/>
      <c r="I4" s="2"/>
    </row>
    <row r="5" customFormat="false" ht="24" hidden="false" customHeight="true" outlineLevel="0" collapsed="false">
      <c r="A5" s="2"/>
      <c r="B5" s="2" t="s">
        <v>3</v>
      </c>
      <c r="C5" s="6" t="str">
        <f aca="false">INDEX(Config!$B$19:$B$26,Config!$C$15)</f>
        <v>3.  Draughtsman</v>
      </c>
      <c r="D5" s="2"/>
      <c r="E5" s="2"/>
      <c r="F5" s="2"/>
      <c r="G5" s="2"/>
      <c r="H5" s="2"/>
      <c r="I5" s="2"/>
    </row>
    <row r="6" customFormat="false" ht="24" hidden="false" customHeight="true" outlineLevel="0" collapsed="false">
      <c r="A6" s="2"/>
      <c r="B6" s="2" t="s">
        <v>4</v>
      </c>
      <c r="C6" s="7" t="n">
        <f aca="false">Config!$C$14</f>
        <v>337</v>
      </c>
      <c r="D6" s="2"/>
      <c r="E6" s="2"/>
      <c r="F6" s="2"/>
      <c r="G6" s="2"/>
      <c r="H6" s="2"/>
      <c r="I6" s="2"/>
    </row>
    <row r="7" customFormat="false" ht="24" hidden="false" customHeight="true" outlineLevel="0" collapsed="false">
      <c r="A7" s="2"/>
      <c r="B7" s="2" t="s">
        <v>5</v>
      </c>
      <c r="C7" s="7" t="n">
        <f aca="false">Config!$C$13</f>
        <v>993</v>
      </c>
      <c r="D7" s="2"/>
      <c r="E7" s="2"/>
      <c r="F7" s="2"/>
      <c r="G7" s="2"/>
      <c r="H7" s="2"/>
      <c r="I7" s="2"/>
    </row>
    <row r="8" customFormat="false" ht="24" hidden="false" customHeight="true" outlineLevel="0" collapsed="false">
      <c r="A8" s="2"/>
      <c r="B8" s="2" t="s">
        <v>6</v>
      </c>
      <c r="C8" s="7" t="n">
        <f aca="false">IF(Config!$C$15&gt;=8,0,INDEX(Config!$D$19:$D$26,Config!$C$15+1)-Config!$C$14)</f>
        <v>1</v>
      </c>
      <c r="D8" s="2"/>
      <c r="E8" s="2"/>
      <c r="F8" s="2"/>
      <c r="G8" s="2"/>
      <c r="H8" s="2"/>
      <c r="I8" s="2"/>
    </row>
    <row r="9" customFormat="false" ht="24" hidden="false" customHeight="true" outlineLevel="0" collapsed="false">
      <c r="A9" s="2"/>
      <c r="B9" s="2" t="s">
        <v>7</v>
      </c>
      <c r="C9" s="6" t="str">
        <f aca="false">IF(Config!$C$15&gt;=8,"- max level -",INDEX(Config!$B$19:$B$26,Config!$C$15+1))</f>
        <v>4.  Engineer</v>
      </c>
      <c r="D9" s="2"/>
      <c r="E9" s="2"/>
      <c r="F9" s="2"/>
      <c r="G9" s="2"/>
      <c r="H9" s="2"/>
      <c r="I9" s="2"/>
    </row>
    <row r="10" customFormat="false" ht="24" hidden="false" customHeight="true" outlineLevel="0" collapsed="false">
      <c r="A10" s="2"/>
      <c r="B10" s="2" t="s">
        <v>8</v>
      </c>
      <c r="C10" s="8" t="n">
        <f aca="false">IFERROR(Config!$C$14/Config!$C$13,0)</f>
        <v>0.339375629405841</v>
      </c>
      <c r="D10" s="2"/>
      <c r="E10" s="2"/>
      <c r="F10" s="9" t="str">
        <f aca="false">REPT("█",ROUND($C$10*20,0))&amp;REPT("░",20-ROUND($C$10*20,0))</f>
        <v>███████░░░░░░░░░░░░░</v>
      </c>
      <c r="G10" s="2"/>
      <c r="H10" s="2"/>
      <c r="I10" s="2"/>
    </row>
    <row r="11" customFormat="false" ht="24" hidden="false" customHeight="true" outlineLevel="0" collapsed="false">
      <c r="A11" s="2"/>
      <c r="B11" s="2" t="s">
        <v>9</v>
      </c>
      <c r="C11" s="10" t="str">
        <f aca="false">COUNTIF(Setup!$H$3:$H$62,"Done")+COUNTIF('App 1'!$H$3:$H$31,"Done")+COUNTIF('App 2'!$H$3:$H$11,"Done")+COUNTIF(Documentation!$H$3:$H$19,"Done")&amp;" of "&amp;COUNTA(Setup!$B$3:$B$62)+COUNTA('App 1'!$B$3:$B$31)+COUNTA('App 2'!$B$3:$B$11)+COUNTA(Documentation!$B$3:$B$19)</f>
        <v>44 of 115</v>
      </c>
      <c r="D11" s="2"/>
      <c r="E11" s="2"/>
      <c r="F11" s="2"/>
      <c r="G11" s="2"/>
      <c r="H11" s="2"/>
      <c r="I11" s="2"/>
    </row>
    <row r="12" customFormat="false" ht="24" hidden="false" customHeight="true" outlineLevel="0" collapsed="false">
      <c r="A12" s="2"/>
      <c r="B12" s="2" t="s">
        <v>10</v>
      </c>
      <c r="C12" s="11" t="n">
        <f aca="false">ROUND((SUMIFS(Setup!$E$3:$E$62,Setup!$H$3:$H$62,"&lt;&gt;Done")+SUMIFS('App 1'!$E$3:$E$31,'App 1'!$H$3:$H$31,"&lt;&gt;Done")+SUMIFS('App 2'!$E$3:$E$11,'App 2'!$H$3:$H$11,"&lt;&gt;Done")+SUMIFS(Documentation!$E$3:$E$19,Documentation!$H$3:$H$19,"&lt;&gt;Done"))/60,1)</f>
        <v>47.1</v>
      </c>
      <c r="D12" s="2"/>
      <c r="E12" s="2"/>
      <c r="F12" s="2"/>
      <c r="G12" s="2"/>
      <c r="H12" s="2"/>
      <c r="I12" s="2"/>
    </row>
    <row r="13" customFormat="false" ht="25.5" hidden="false" customHeight="true" outlineLevel="0" collapsed="false">
      <c r="A13" s="2"/>
      <c r="B13" s="2" t="s">
        <v>11</v>
      </c>
      <c r="C13" s="12" t="str">
        <f aca="false">IF($D$18&lt;$C$18,$C$35,IF($D$19&lt;$C$19,$C$44,IF($D$20&lt;$C$20,$C$52,IF($D$21&lt;$C$21,$C$61,"Everything is done. Go outside."))))</f>
        <v>5.1   ·   Open the Routines dashboard</v>
      </c>
      <c r="D13" s="12"/>
      <c r="E13" s="12"/>
      <c r="F13" s="12"/>
      <c r="G13" s="12"/>
      <c r="H13" s="2"/>
      <c r="I13" s="2"/>
    </row>
    <row r="14" customFormat="false" ht="21.75" hidden="false" customHeight="true" outlineLevel="0" collapsed="false">
      <c r="A14" s="2"/>
      <c r="B14" s="2"/>
      <c r="C14" s="2"/>
      <c r="D14" s="2"/>
      <c r="E14" s="2"/>
      <c r="F14" s="2"/>
      <c r="G14" s="2"/>
      <c r="H14" s="2"/>
      <c r="I14" s="2"/>
    </row>
    <row r="15" customFormat="false" ht="30" hidden="false" customHeight="true" outlineLevel="0" collapsed="false">
      <c r="A15" s="2"/>
      <c r="B15" s="5" t="s">
        <v>12</v>
      </c>
      <c r="C15" s="5"/>
      <c r="D15" s="5"/>
      <c r="E15" s="5"/>
      <c r="F15" s="5"/>
      <c r="G15" s="5"/>
      <c r="H15" s="2"/>
      <c r="I15" s="2"/>
    </row>
    <row r="16" customFormat="false" ht="19.5" hidden="false" customHeight="true" outlineLevel="0" collapsed="false">
      <c r="A16" s="2"/>
      <c r="B16" s="4" t="s">
        <v>13</v>
      </c>
      <c r="C16" s="4"/>
      <c r="D16" s="4"/>
      <c r="E16" s="4"/>
      <c r="F16" s="4"/>
      <c r="G16" s="4"/>
      <c r="H16" s="2"/>
      <c r="I16" s="2"/>
    </row>
    <row r="17" customFormat="false" ht="21.75" hidden="false" customHeight="true" outlineLevel="0" collapsed="false">
      <c r="A17" s="2"/>
      <c r="B17" s="13" t="s">
        <v>14</v>
      </c>
      <c r="C17" s="14" t="s">
        <v>15</v>
      </c>
      <c r="D17" s="14" t="s">
        <v>16</v>
      </c>
      <c r="E17" s="14" t="s">
        <v>17</v>
      </c>
      <c r="F17" s="13" t="s">
        <v>18</v>
      </c>
      <c r="G17" s="14" t="s">
        <v>19</v>
      </c>
      <c r="H17" s="2"/>
      <c r="I17" s="2"/>
    </row>
    <row r="18" customFormat="false" ht="24" hidden="false" customHeight="true" outlineLevel="0" collapsed="false">
      <c r="A18" s="2"/>
      <c r="B18" s="15" t="s">
        <v>20</v>
      </c>
      <c r="C18" s="16" t="n">
        <f aca="false">COUNTA(Setup!$B$3:$B$62)</f>
        <v>60</v>
      </c>
      <c r="D18" s="16" t="n">
        <f aca="false">COUNTIF(Setup!$H$3:$H$62,"Done")</f>
        <v>44</v>
      </c>
      <c r="E18" s="17" t="n">
        <f aca="false">IFERROR($D18/$C18,0)</f>
        <v>0.733333333333333</v>
      </c>
      <c r="F18" s="18" t="str">
        <f aca="false">REPT("█",ROUND($E18*20,0))&amp;REPT("░",20-ROUND($E18*20,0))</f>
        <v>███████████████░░░░░</v>
      </c>
      <c r="G18" s="19" t="n">
        <f aca="false">ROUND(SUMIFS(Setup!$E$3:$E$62,Setup!$H$3:$H$62,"&lt;&gt;Done")/60,1)</f>
        <v>7.4</v>
      </c>
      <c r="H18" s="2"/>
      <c r="I18" s="2"/>
    </row>
    <row r="19" customFormat="false" ht="24" hidden="false" customHeight="true" outlineLevel="0" collapsed="false">
      <c r="A19" s="2"/>
      <c r="B19" s="15" t="s">
        <v>21</v>
      </c>
      <c r="C19" s="16" t="n">
        <f aca="false">COUNTA('App 1'!$B$3:$B$31)</f>
        <v>29</v>
      </c>
      <c r="D19" s="16" t="n">
        <f aca="false">COUNTIF('App 1'!$H$3:$H$31,"Done")</f>
        <v>0</v>
      </c>
      <c r="E19" s="17" t="n">
        <f aca="false">IFERROR($D19/$C19,0)</f>
        <v>0</v>
      </c>
      <c r="F19" s="18" t="str">
        <f aca="false">REPT("█",ROUND($E19*20,0))&amp;REPT("░",20-ROUND($E19*20,0))</f>
        <v>░░░░░░░░░░░░░░░░░░░░</v>
      </c>
      <c r="G19" s="19" t="n">
        <f aca="false">ROUND(SUMIFS('App 1'!$E$3:$E$31,'App 1'!$H$3:$H$31,"&lt;&gt;Done")/60,1)</f>
        <v>20.5</v>
      </c>
      <c r="H19" s="2"/>
      <c r="I19" s="2"/>
    </row>
    <row r="20" customFormat="false" ht="24" hidden="false" customHeight="true" outlineLevel="0" collapsed="false">
      <c r="A20" s="2"/>
      <c r="B20" s="15" t="s">
        <v>22</v>
      </c>
      <c r="C20" s="16" t="n">
        <f aca="false">COUNTA('App 2'!$B$3:$B$11)</f>
        <v>9</v>
      </c>
      <c r="D20" s="16" t="n">
        <f aca="false">COUNTIF('App 2'!$H$3:$H$11,"Done")</f>
        <v>0</v>
      </c>
      <c r="E20" s="17" t="n">
        <f aca="false">IFERROR($D20/$C20,0)</f>
        <v>0</v>
      </c>
      <c r="F20" s="18" t="str">
        <f aca="false">REPT("█",ROUND($E20*20,0))&amp;REPT("░",20-ROUND($E20*20,0))</f>
        <v>░░░░░░░░░░░░░░░░░░░░</v>
      </c>
      <c r="G20" s="19" t="n">
        <f aca="false">ROUND(SUMIFS('App 2'!$E$3:$E$11,'App 2'!$H$3:$H$11,"&lt;&gt;Done")/60,1)</f>
        <v>6.4</v>
      </c>
      <c r="H20" s="2"/>
      <c r="I20" s="2"/>
    </row>
    <row r="21" customFormat="false" ht="24" hidden="false" customHeight="true" outlineLevel="0" collapsed="false">
      <c r="A21" s="2"/>
      <c r="B21" s="15" t="s">
        <v>23</v>
      </c>
      <c r="C21" s="16" t="n">
        <f aca="false">COUNTA(Documentation!$B$3:$B$19)</f>
        <v>17</v>
      </c>
      <c r="D21" s="16" t="n">
        <f aca="false">COUNTIF(Documentation!$H$3:$H$19,"Done")</f>
        <v>0</v>
      </c>
      <c r="E21" s="17" t="n">
        <f aca="false">IFERROR($D21/$C21,0)</f>
        <v>0</v>
      </c>
      <c r="F21" s="18" t="str">
        <f aca="false">REPT("█",ROUND($E21*20,0))&amp;REPT("░",20-ROUND($E21*20,0))</f>
        <v>░░░░░░░░░░░░░░░░░░░░</v>
      </c>
      <c r="G21" s="19" t="n">
        <f aca="false">ROUND(SUMIFS(Documentation!$E$3:$E$19,Documentation!$H$3:$H$19,"&lt;&gt;Done")/60,1)</f>
        <v>12.8</v>
      </c>
      <c r="H21" s="2"/>
      <c r="I21" s="2"/>
    </row>
    <row r="22" customFormat="false" ht="21.75" hidden="false" customHeight="true" outlineLevel="0" collapsed="false">
      <c r="A22" s="2"/>
      <c r="B22" s="2"/>
      <c r="C22" s="2"/>
      <c r="D22" s="2"/>
      <c r="E22" s="2"/>
      <c r="F22" s="2"/>
      <c r="G22" s="2"/>
      <c r="H22" s="2"/>
      <c r="I22" s="2"/>
    </row>
    <row r="23" customFormat="false" ht="30" hidden="false" customHeight="true" outlineLevel="0" collapsed="false">
      <c r="A23" s="2"/>
      <c r="B23" s="5" t="s">
        <v>24</v>
      </c>
      <c r="C23" s="5"/>
      <c r="D23" s="5"/>
      <c r="E23" s="5"/>
      <c r="F23" s="5"/>
      <c r="G23" s="5"/>
      <c r="H23" s="2"/>
      <c r="I23" s="2"/>
    </row>
    <row r="24" customFormat="false" ht="19.5" hidden="false" customHeight="true" outlineLevel="0" collapsed="false">
      <c r="A24" s="2"/>
      <c r="B24" s="4" t="s">
        <v>25</v>
      </c>
      <c r="C24" s="4"/>
      <c r="D24" s="4"/>
      <c r="E24" s="4"/>
      <c r="F24" s="4"/>
      <c r="G24" s="4"/>
      <c r="H24" s="2"/>
      <c r="I24" s="2"/>
    </row>
    <row r="25" customFormat="false" ht="21.75" hidden="false" customHeight="true" outlineLevel="0" collapsed="false">
      <c r="A25" s="2"/>
      <c r="B25" s="13" t="s">
        <v>26</v>
      </c>
      <c r="C25" s="14" t="s">
        <v>15</v>
      </c>
      <c r="D25" s="14" t="s">
        <v>16</v>
      </c>
      <c r="E25" s="14" t="s">
        <v>17</v>
      </c>
      <c r="F25" s="13" t="s">
        <v>18</v>
      </c>
      <c r="G25" s="14" t="s">
        <v>19</v>
      </c>
      <c r="H25" s="2"/>
      <c r="I25" s="2"/>
    </row>
    <row r="26" customFormat="false" ht="24" hidden="false" customHeight="true" outlineLevel="0" collapsed="false">
      <c r="A26" s="2"/>
      <c r="B26" s="2" t="str">
        <f aca="false">Config!$B$35</f>
        <v>Phase 0 · Design review</v>
      </c>
      <c r="C26" s="16" t="n">
        <f aca="false">COUNTIF(Setup!$A$3:$A$62,$B26)</f>
        <v>3</v>
      </c>
      <c r="D26" s="16" t="n">
        <f aca="false">COUNTIFS(Setup!$A$3:$A$62,$B26,Setup!$H$3:$H$62,"Done")</f>
        <v>3</v>
      </c>
      <c r="E26" s="17" t="n">
        <f aca="false">IFERROR($D26/$C26,0)</f>
        <v>1</v>
      </c>
      <c r="F26" s="18" t="str">
        <f aca="false">REPT("█",ROUND($E26*20,0))&amp;REPT("░",20-ROUND($E26*20,0))</f>
        <v>████████████████████</v>
      </c>
      <c r="G26" s="19" t="n">
        <f aca="false">ROUND(SUMIFS(Setup!$E$3:$E$62,Setup!$A$3:$A$62,$B26,Setup!$H$3:$H$62,"&lt;&gt;Done")/60,1)</f>
        <v>0</v>
      </c>
      <c r="H26" s="2"/>
      <c r="I26" s="2"/>
    </row>
    <row r="27" customFormat="false" ht="24" hidden="false" customHeight="true" outlineLevel="0" collapsed="false">
      <c r="A27" s="2"/>
      <c r="B27" s="2" t="str">
        <f aca="false">Config!$B$36</f>
        <v>Phase 1 · Environment check</v>
      </c>
      <c r="C27" s="16" t="n">
        <f aca="false">COUNTIF(Setup!$A$3:$A$62,$B27)</f>
        <v>6</v>
      </c>
      <c r="D27" s="16" t="n">
        <f aca="false">COUNTIFS(Setup!$A$3:$A$62,$B27,Setup!$H$3:$H$62,"Done")</f>
        <v>6</v>
      </c>
      <c r="E27" s="17" t="n">
        <f aca="false">IFERROR($D27/$C27,0)</f>
        <v>1</v>
      </c>
      <c r="F27" s="18" t="str">
        <f aca="false">REPT("█",ROUND($E27*20,0))&amp;REPT("░",20-ROUND($E27*20,0))</f>
        <v>████████████████████</v>
      </c>
      <c r="G27" s="19" t="n">
        <f aca="false">ROUND(SUMIFS(Setup!$E$3:$E$62,Setup!$A$3:$A$62,$B27,Setup!$H$3:$H$62,"&lt;&gt;Done")/60,1)</f>
        <v>0</v>
      </c>
      <c r="H27" s="2"/>
      <c r="I27" s="2"/>
    </row>
    <row r="28" customFormat="false" ht="24" hidden="false" customHeight="true" outlineLevel="0" collapsed="false">
      <c r="A28" s="2"/>
      <c r="B28" s="2" t="str">
        <f aca="false">Config!$B$37</f>
        <v>Phase 2 · Provisional v0.1 assets</v>
      </c>
      <c r="C28" s="16" t="n">
        <f aca="false">COUNTIF(Setup!$A$3:$A$62,$B28)</f>
        <v>12</v>
      </c>
      <c r="D28" s="16" t="n">
        <f aca="false">COUNTIFS(Setup!$A$3:$A$62,$B28,Setup!$H$3:$H$62,"Done")</f>
        <v>12</v>
      </c>
      <c r="E28" s="17" t="n">
        <f aca="false">IFERROR($D28/$C28,0)</f>
        <v>1</v>
      </c>
      <c r="F28" s="18" t="str">
        <f aca="false">REPT("█",ROUND($E28*20,0))&amp;REPT("░",20-ROUND($E28*20,0))</f>
        <v>████████████████████</v>
      </c>
      <c r="G28" s="19" t="n">
        <f aca="false">ROUND(SUMIFS(Setup!$E$3:$E$62,Setup!$A$3:$A$62,$B28,Setup!$H$3:$H$62,"&lt;&gt;Done")/60,1)</f>
        <v>0</v>
      </c>
      <c r="H28" s="2"/>
      <c r="I28" s="2"/>
    </row>
    <row r="29" customFormat="false" ht="24" hidden="false" customHeight="true" outlineLevel="0" collapsed="false">
      <c r="A29" s="2"/>
      <c r="B29" s="2" t="str">
        <f aca="false">Config!$B$38</f>
        <v>Phase 3 · Infrastructure setup</v>
      </c>
      <c r="C29" s="16" t="n">
        <f aca="false">COUNTIF(Setup!$A$3:$A$62,$B29)</f>
        <v>16</v>
      </c>
      <c r="D29" s="16" t="n">
        <f aca="false">COUNTIFS(Setup!$A$3:$A$62,$B29,Setup!$H$3:$H$62,"Done")</f>
        <v>16</v>
      </c>
      <c r="E29" s="17" t="n">
        <f aca="false">IFERROR($D29/$C29,0)</f>
        <v>1</v>
      </c>
      <c r="F29" s="18" t="str">
        <f aca="false">REPT("█",ROUND($E29*20,0))&amp;REPT("░",20-ROUND($E29*20,0))</f>
        <v>████████████████████</v>
      </c>
      <c r="G29" s="19" t="n">
        <f aca="false">ROUND(SUMIFS(Setup!$E$3:$E$62,Setup!$A$3:$A$62,$B29,Setup!$H$3:$H$62,"&lt;&gt;Done")/60,1)</f>
        <v>0</v>
      </c>
      <c r="H29" s="2"/>
      <c r="I29" s="2"/>
    </row>
    <row r="30" customFormat="false" ht="24" hidden="false" customHeight="true" outlineLevel="0" collapsed="false">
      <c r="A30" s="2"/>
      <c r="B30" s="2" t="str">
        <f aca="false">Config!$B$39</f>
        <v>Phase 4 · Agent &amp; skill definitions</v>
      </c>
      <c r="C30" s="16" t="n">
        <f aca="false">COUNTIF(Setup!$A$3:$A$62,$B30)</f>
        <v>7</v>
      </c>
      <c r="D30" s="16" t="n">
        <f aca="false">COUNTIFS(Setup!$A$3:$A$62,$B30,Setup!$H$3:$H$62,"Done")</f>
        <v>7</v>
      </c>
      <c r="E30" s="17" t="n">
        <f aca="false">IFERROR($D30/$C30,0)</f>
        <v>1</v>
      </c>
      <c r="F30" s="18" t="str">
        <f aca="false">REPT("█",ROUND($E30*20,0))&amp;REPT("░",20-ROUND($E30*20,0))</f>
        <v>████████████████████</v>
      </c>
      <c r="G30" s="19" t="n">
        <f aca="false">ROUND(SUMIFS(Setup!$E$3:$E$62,Setup!$A$3:$A$62,$B30,Setup!$H$3:$H$62,"&lt;&gt;Done")/60,1)</f>
        <v>0</v>
      </c>
      <c r="H30" s="2"/>
      <c r="I30" s="2"/>
    </row>
    <row r="31" customFormat="false" ht="24" hidden="false" customHeight="true" outlineLevel="0" collapsed="false">
      <c r="A31" s="2"/>
      <c r="B31" s="2" t="str">
        <f aca="false">Config!$B$40</f>
        <v>Phase 5 · Configure the routine</v>
      </c>
      <c r="C31" s="16" t="n">
        <f aca="false">COUNTIF(Setup!$A$3:$A$62,$B31)</f>
        <v>6</v>
      </c>
      <c r="D31" s="16" t="n">
        <f aca="false">COUNTIFS(Setup!$A$3:$A$62,$B31,Setup!$H$3:$H$62,"Done")</f>
        <v>0</v>
      </c>
      <c r="E31" s="17" t="n">
        <f aca="false">IFERROR($D31/$C31,0)</f>
        <v>0</v>
      </c>
      <c r="F31" s="18" t="str">
        <f aca="false">REPT("█",ROUND($E31*20,0))&amp;REPT("░",20-ROUND($E31*20,0))</f>
        <v>░░░░░░░░░░░░░░░░░░░░</v>
      </c>
      <c r="G31" s="19" t="n">
        <f aca="false">ROUND(SUMIFS(Setup!$E$3:$E$62,Setup!$A$3:$A$62,$B31,Setup!$H$3:$H$62,"&lt;&gt;Done")/60,1)</f>
        <v>2.3</v>
      </c>
      <c r="H31" s="2"/>
      <c r="I31" s="2"/>
    </row>
    <row r="32" customFormat="false" ht="24" hidden="false" customHeight="true" outlineLevel="0" collapsed="false">
      <c r="A32" s="2"/>
      <c r="B32" s="2" t="str">
        <f aca="false">Config!$B$41</f>
        <v>Phase 6 · Smoke test</v>
      </c>
      <c r="C32" s="16" t="n">
        <f aca="false">COUNTIF(Setup!$A$3:$A$62,$B32)</f>
        <v>10</v>
      </c>
      <c r="D32" s="16" t="n">
        <f aca="false">COUNTIFS(Setup!$A$3:$A$62,$B32,Setup!$H$3:$H$62,"Done")</f>
        <v>0</v>
      </c>
      <c r="E32" s="17" t="n">
        <f aca="false">IFERROR($D32/$C32,0)</f>
        <v>0</v>
      </c>
      <c r="F32" s="18" t="str">
        <f aca="false">REPT("█",ROUND($E32*20,0))&amp;REPT("░",20-ROUND($E32*20,0))</f>
        <v>░░░░░░░░░░░░░░░░░░░░</v>
      </c>
      <c r="G32" s="19" t="n">
        <f aca="false">ROUND(SUMIFS(Setup!$E$3:$E$62,Setup!$A$3:$A$62,$B32,Setup!$H$3:$H$62,"&lt;&gt;Done")/60,1)</f>
        <v>5.1</v>
      </c>
      <c r="H32" s="2"/>
      <c r="I32" s="2"/>
    </row>
    <row r="33" customFormat="false" ht="25.5" hidden="false" customHeight="true" outlineLevel="0" collapsed="false">
      <c r="A33" s="2"/>
      <c r="B33" s="20" t="s">
        <v>27</v>
      </c>
      <c r="C33" s="21" t="n">
        <f aca="false">COUNTA(Setup!$B$3:$B$62)</f>
        <v>60</v>
      </c>
      <c r="D33" s="21" t="n">
        <f aca="false">COUNTIF(Setup!$H$3:$H$62,"Done")</f>
        <v>44</v>
      </c>
      <c r="E33" s="22" t="n">
        <f aca="false">IFERROR($D33/$C33,0)</f>
        <v>0.733333333333333</v>
      </c>
      <c r="F33" s="23" t="str">
        <f aca="false">REPT("█",ROUND($E33*20,0))&amp;REPT("░",20-ROUND($E33*20,0))</f>
        <v>███████████████░░░░░</v>
      </c>
      <c r="G33" s="24" t="n">
        <f aca="false">ROUND(SUMIFS(Setup!$E$3:$E$62,Setup!$H$3:$H$62,"&lt;&gt;Done")/60,1)</f>
        <v>7.4</v>
      </c>
      <c r="H33" s="2"/>
      <c r="I33" s="2"/>
    </row>
    <row r="34" customFormat="false" ht="21.75" hidden="false" customHeight="true" outlineLevel="0" collapsed="false">
      <c r="A34" s="2"/>
      <c r="B34" s="25" t="s">
        <v>28</v>
      </c>
      <c r="C34" s="26" t="str">
        <f aca="false">SUMIFS(Setup!$G$3:$G$62,Setup!$H$3:$H$62,"Done")&amp;" / "&amp;SUM(Setup!$G$3:$G$62)</f>
        <v>337 / 455</v>
      </c>
      <c r="D34" s="26"/>
      <c r="E34" s="2"/>
      <c r="F34" s="2"/>
      <c r="G34" s="2"/>
      <c r="H34" s="2"/>
      <c r="I34" s="2"/>
    </row>
    <row r="35" customFormat="false" ht="25.5" hidden="false" customHeight="true" outlineLevel="0" collapsed="false">
      <c r="A35" s="2"/>
      <c r="B35" s="2" t="s">
        <v>29</v>
      </c>
      <c r="C35" s="27" t="str">
        <f aca="false">IFERROR(INDEX(Setup!$B$3:$B$62,MATCH(MIN(Setup!$L$3:$L$62),Setup!$L$3:$L$62,0))&amp;"   ·   "&amp;INDEX(Setup!$C$3:$C$62,MATCH(MIN(Setup!$L$3:$L$62),Setup!$L$3:$L$62,0)),"- nothing available in this track -")</f>
        <v>5.1   ·   Open the Routines dashboard</v>
      </c>
      <c r="D35" s="27"/>
      <c r="E35" s="27"/>
      <c r="F35" s="27"/>
      <c r="G35" s="27"/>
      <c r="H35" s="2"/>
      <c r="I35" s="2"/>
    </row>
    <row r="36" customFormat="false" ht="21.75" hidden="false" customHeight="true" outlineLevel="0" collapsed="false">
      <c r="A36" s="2"/>
      <c r="B36" s="2"/>
      <c r="C36" s="2"/>
      <c r="D36" s="2"/>
      <c r="E36" s="2"/>
      <c r="F36" s="2"/>
      <c r="G36" s="2"/>
      <c r="H36" s="2"/>
      <c r="I36" s="2"/>
    </row>
    <row r="37" customFormat="false" ht="30" hidden="false" customHeight="true" outlineLevel="0" collapsed="false">
      <c r="A37" s="2"/>
      <c r="B37" s="5" t="s">
        <v>30</v>
      </c>
      <c r="C37" s="5"/>
      <c r="D37" s="5"/>
      <c r="E37" s="5"/>
      <c r="F37" s="5"/>
      <c r="G37" s="5"/>
      <c r="H37" s="2"/>
      <c r="I37" s="2"/>
    </row>
    <row r="38" customFormat="false" ht="19.5" hidden="false" customHeight="true" outlineLevel="0" collapsed="false">
      <c r="A38" s="2"/>
      <c r="B38" s="4" t="s">
        <v>31</v>
      </c>
      <c r="C38" s="4"/>
      <c r="D38" s="4"/>
      <c r="E38" s="4"/>
      <c r="F38" s="4"/>
      <c r="G38" s="4"/>
      <c r="H38" s="2"/>
      <c r="I38" s="2"/>
    </row>
    <row r="39" customFormat="false" ht="21.75" hidden="false" customHeight="true" outlineLevel="0" collapsed="false">
      <c r="A39" s="2"/>
      <c r="B39" s="13" t="s">
        <v>26</v>
      </c>
      <c r="C39" s="14" t="s">
        <v>15</v>
      </c>
      <c r="D39" s="14" t="s">
        <v>16</v>
      </c>
      <c r="E39" s="14" t="s">
        <v>17</v>
      </c>
      <c r="F39" s="13" t="s">
        <v>18</v>
      </c>
      <c r="G39" s="14" t="s">
        <v>19</v>
      </c>
      <c r="H39" s="2"/>
      <c r="I39" s="2"/>
    </row>
    <row r="40" customFormat="false" ht="24" hidden="false" customHeight="true" outlineLevel="0" collapsed="false">
      <c r="A40" s="2"/>
      <c r="B40" s="2" t="str">
        <f aca="false">Config!$B$42</f>
        <v>Phase 7 · Build app #1 (FPL)</v>
      </c>
      <c r="C40" s="16" t="n">
        <f aca="false">COUNTIF('App 1'!$A$3:$A$31,$B40)</f>
        <v>18</v>
      </c>
      <c r="D40" s="16" t="n">
        <f aca="false">COUNTIFS('App 1'!$A$3:$A$31,$B40,'App 1'!$H$3:$H$31,"Done")</f>
        <v>0</v>
      </c>
      <c r="E40" s="17" t="n">
        <f aca="false">IFERROR($D40/$C40,0)</f>
        <v>0</v>
      </c>
      <c r="F40" s="18" t="str">
        <f aca="false">REPT("█",ROUND($E40*20,0))&amp;REPT("░",20-ROUND($E40*20,0))</f>
        <v>░░░░░░░░░░░░░░░░░░░░</v>
      </c>
      <c r="G40" s="19" t="n">
        <f aca="false">ROUND(SUMIFS('App 1'!$E$3:$E$31,'App 1'!$A$3:$A$31,$B40,'App 1'!$H$3:$H$31,"&lt;&gt;Done")/60,1)</f>
        <v>11.3</v>
      </c>
      <c r="H40" s="2"/>
      <c r="I40" s="2"/>
    </row>
    <row r="41" customFormat="false" ht="24" hidden="false" customHeight="true" outlineLevel="0" collapsed="false">
      <c r="A41" s="2"/>
      <c r="B41" s="2" t="str">
        <f aca="false">Config!$B$43</f>
        <v>Phase 8 · Retrospective &amp; asset revision</v>
      </c>
      <c r="C41" s="16" t="n">
        <f aca="false">COUNTIF('App 1'!$A$3:$A$31,$B41)</f>
        <v>11</v>
      </c>
      <c r="D41" s="16" t="n">
        <f aca="false">COUNTIFS('App 1'!$A$3:$A$31,$B41,'App 1'!$H$3:$H$31,"Done")</f>
        <v>0</v>
      </c>
      <c r="E41" s="17" t="n">
        <f aca="false">IFERROR($D41/$C41,0)</f>
        <v>0</v>
      </c>
      <c r="F41" s="18" t="str">
        <f aca="false">REPT("█",ROUND($E41*20,0))&amp;REPT("░",20-ROUND($E41*20,0))</f>
        <v>░░░░░░░░░░░░░░░░░░░░</v>
      </c>
      <c r="G41" s="19" t="n">
        <f aca="false">ROUND(SUMIFS('App 1'!$E$3:$E$31,'App 1'!$A$3:$A$31,$B41,'App 1'!$H$3:$H$31,"&lt;&gt;Done")/60,1)</f>
        <v>9.3</v>
      </c>
      <c r="H41" s="2"/>
      <c r="I41" s="2"/>
    </row>
    <row r="42" customFormat="false" ht="25.5" hidden="false" customHeight="true" outlineLevel="0" collapsed="false">
      <c r="A42" s="2"/>
      <c r="B42" s="20" t="s">
        <v>32</v>
      </c>
      <c r="C42" s="21" t="n">
        <f aca="false">COUNTA('App 1'!$B$3:$B$31)</f>
        <v>29</v>
      </c>
      <c r="D42" s="21" t="n">
        <f aca="false">COUNTIF('App 1'!$H$3:$H$31,"Done")</f>
        <v>0</v>
      </c>
      <c r="E42" s="22" t="n">
        <f aca="false">IFERROR($D42/$C42,0)</f>
        <v>0</v>
      </c>
      <c r="F42" s="23" t="str">
        <f aca="false">REPT("█",ROUND($E42*20,0))&amp;REPT("░",20-ROUND($E42*20,0))</f>
        <v>░░░░░░░░░░░░░░░░░░░░</v>
      </c>
      <c r="G42" s="24" t="n">
        <f aca="false">ROUND(SUMIFS('App 1'!$E$3:$E$31,'App 1'!$H$3:$H$31,"&lt;&gt;Done")/60,1)</f>
        <v>20.5</v>
      </c>
      <c r="H42" s="2"/>
      <c r="I42" s="2"/>
    </row>
    <row r="43" customFormat="false" ht="21.75" hidden="false" customHeight="true" outlineLevel="0" collapsed="false">
      <c r="A43" s="2"/>
      <c r="B43" s="25" t="s">
        <v>28</v>
      </c>
      <c r="C43" s="26" t="str">
        <f aca="false">SUMIFS('App 1'!$G$3:$G$31,'App 1'!$H$3:$H$31,"Done")&amp;" / "&amp;SUM('App 1'!$G$3:$G$31)</f>
        <v>0 / 272</v>
      </c>
      <c r="D43" s="26"/>
      <c r="E43" s="2"/>
      <c r="F43" s="2"/>
      <c r="G43" s="2"/>
      <c r="H43" s="2"/>
      <c r="I43" s="2"/>
    </row>
    <row r="44" customFormat="false" ht="25.5" hidden="false" customHeight="true" outlineLevel="0" collapsed="false">
      <c r="A44" s="2"/>
      <c r="B44" s="2" t="s">
        <v>29</v>
      </c>
      <c r="C44" s="27" t="str">
        <f aca="false">IFERROR(INDEX('App 1'!$B$3:$B$31,MATCH(MIN('App 1'!$L$3:$L$31),'App 1'!$L$3:$L$31,0))&amp;"   ·   "&amp;INDEX('App 1'!$C$3:$C$31,MATCH(MIN('App 1'!$L$3:$L$31),'App 1'!$L$3:$L$31,0)),"- nothing available in this track -")</f>
        <v>- nothing available in this track -</v>
      </c>
      <c r="D44" s="27"/>
      <c r="E44" s="27"/>
      <c r="F44" s="27"/>
      <c r="G44" s="27"/>
      <c r="H44" s="2"/>
      <c r="I44" s="2"/>
    </row>
    <row r="45" customFormat="false" ht="21.75" hidden="false" customHeight="true" outlineLevel="0" collapsed="false">
      <c r="A45" s="2"/>
      <c r="B45" s="2"/>
      <c r="C45" s="2"/>
      <c r="D45" s="2"/>
      <c r="E45" s="2"/>
      <c r="F45" s="2"/>
      <c r="G45" s="2"/>
      <c r="H45" s="2"/>
      <c r="I45" s="2"/>
    </row>
    <row r="46" customFormat="false" ht="30" hidden="false" customHeight="true" outlineLevel="0" collapsed="false">
      <c r="A46" s="2"/>
      <c r="B46" s="5" t="s">
        <v>33</v>
      </c>
      <c r="C46" s="5"/>
      <c r="D46" s="5"/>
      <c r="E46" s="5"/>
      <c r="F46" s="5"/>
      <c r="G46" s="5"/>
      <c r="H46" s="2"/>
      <c r="I46" s="2"/>
    </row>
    <row r="47" customFormat="false" ht="19.5" hidden="false" customHeight="true" outlineLevel="0" collapsed="false">
      <c r="A47" s="2"/>
      <c r="B47" s="4" t="s">
        <v>34</v>
      </c>
      <c r="C47" s="4"/>
      <c r="D47" s="4"/>
      <c r="E47" s="4"/>
      <c r="F47" s="4"/>
      <c r="G47" s="4"/>
      <c r="H47" s="2"/>
      <c r="I47" s="2"/>
    </row>
    <row r="48" customFormat="false" ht="21.75" hidden="false" customHeight="true" outlineLevel="0" collapsed="false">
      <c r="A48" s="2"/>
      <c r="B48" s="13" t="s">
        <v>26</v>
      </c>
      <c r="C48" s="14" t="s">
        <v>15</v>
      </c>
      <c r="D48" s="14" t="s">
        <v>16</v>
      </c>
      <c r="E48" s="14" t="s">
        <v>17</v>
      </c>
      <c r="F48" s="13" t="s">
        <v>18</v>
      </c>
      <c r="G48" s="14" t="s">
        <v>19</v>
      </c>
      <c r="H48" s="2"/>
      <c r="I48" s="2"/>
    </row>
    <row r="49" customFormat="false" ht="24" hidden="false" customHeight="true" outlineLevel="0" collapsed="false">
      <c r="A49" s="2"/>
      <c r="B49" s="2" t="str">
        <f aca="false">Config!$B$44</f>
        <v>Phase 9 · App #2 (fitness planner)</v>
      </c>
      <c r="C49" s="16" t="n">
        <f aca="false">COUNTIF('App 2'!$A$3:$A$11,$B49)</f>
        <v>9</v>
      </c>
      <c r="D49" s="16" t="n">
        <f aca="false">COUNTIFS('App 2'!$A$3:$A$11,$B49,'App 2'!$H$3:$H$11,"Done")</f>
        <v>0</v>
      </c>
      <c r="E49" s="17" t="n">
        <f aca="false">IFERROR($D49/$C49,0)</f>
        <v>0</v>
      </c>
      <c r="F49" s="18" t="str">
        <f aca="false">REPT("█",ROUND($E49*20,0))&amp;REPT("░",20-ROUND($E49*20,0))</f>
        <v>░░░░░░░░░░░░░░░░░░░░</v>
      </c>
      <c r="G49" s="19" t="n">
        <f aca="false">ROUND(SUMIFS('App 2'!$E$3:$E$11,'App 2'!$A$3:$A$11,$B49,'App 2'!$H$3:$H$11,"&lt;&gt;Done")/60,1)</f>
        <v>6.4</v>
      </c>
      <c r="H49" s="2"/>
      <c r="I49" s="2"/>
    </row>
    <row r="50" customFormat="false" ht="25.5" hidden="false" customHeight="true" outlineLevel="0" collapsed="false">
      <c r="A50" s="2"/>
      <c r="B50" s="20" t="s">
        <v>35</v>
      </c>
      <c r="C50" s="21" t="n">
        <f aca="false">COUNTA('App 2'!$B$3:$B$11)</f>
        <v>9</v>
      </c>
      <c r="D50" s="21" t="n">
        <f aca="false">COUNTIF('App 2'!$H$3:$H$11,"Done")</f>
        <v>0</v>
      </c>
      <c r="E50" s="22" t="n">
        <f aca="false">IFERROR($D50/$C50,0)</f>
        <v>0</v>
      </c>
      <c r="F50" s="23" t="str">
        <f aca="false">REPT("█",ROUND($E50*20,0))&amp;REPT("░",20-ROUND($E50*20,0))</f>
        <v>░░░░░░░░░░░░░░░░░░░░</v>
      </c>
      <c r="G50" s="24" t="n">
        <f aca="false">ROUND(SUMIFS('App 2'!$E$3:$E$11,'App 2'!$H$3:$H$11,"&lt;&gt;Done")/60,1)</f>
        <v>6.4</v>
      </c>
      <c r="H50" s="2"/>
      <c r="I50" s="2"/>
    </row>
    <row r="51" customFormat="false" ht="21.75" hidden="false" customHeight="true" outlineLevel="0" collapsed="false">
      <c r="A51" s="2"/>
      <c r="B51" s="25" t="s">
        <v>28</v>
      </c>
      <c r="C51" s="26" t="str">
        <f aca="false">SUMIFS('App 2'!$G$3:$G$11,'App 2'!$H$3:$H$11,"Done")&amp;" / "&amp;SUM('App 2'!$G$3:$G$11)</f>
        <v>0 / 87</v>
      </c>
      <c r="D51" s="26"/>
      <c r="E51" s="2"/>
      <c r="F51" s="2"/>
      <c r="G51" s="2"/>
      <c r="H51" s="2"/>
      <c r="I51" s="2"/>
    </row>
    <row r="52" customFormat="false" ht="25.5" hidden="false" customHeight="true" outlineLevel="0" collapsed="false">
      <c r="A52" s="2"/>
      <c r="B52" s="2" t="s">
        <v>29</v>
      </c>
      <c r="C52" s="27" t="str">
        <f aca="false">IFERROR(INDEX('App 2'!$B$3:$B$11,MATCH(MIN('App 2'!$L$3:$L$11),'App 2'!$L$3:$L$11,0))&amp;"   ·   "&amp;INDEX('App 2'!$C$3:$C$11,MATCH(MIN('App 2'!$L$3:$L$11),'App 2'!$L$3:$L$11,0)),"- nothing available in this track -")</f>
        <v>- nothing available in this track -</v>
      </c>
      <c r="D52" s="27"/>
      <c r="E52" s="27"/>
      <c r="F52" s="27"/>
      <c r="G52" s="27"/>
      <c r="H52" s="2"/>
      <c r="I52" s="2"/>
    </row>
    <row r="53" customFormat="false" ht="21.75" hidden="false" customHeight="true" outlineLevel="0" collapsed="false">
      <c r="A53" s="2"/>
      <c r="B53" s="2"/>
      <c r="C53" s="2"/>
      <c r="D53" s="2"/>
      <c r="E53" s="2"/>
      <c r="F53" s="2"/>
      <c r="G53" s="2"/>
      <c r="H53" s="2"/>
      <c r="I53" s="2"/>
    </row>
    <row r="54" customFormat="false" ht="30" hidden="false" customHeight="true" outlineLevel="0" collapsed="false">
      <c r="A54" s="2"/>
      <c r="B54" s="5" t="s">
        <v>36</v>
      </c>
      <c r="C54" s="5"/>
      <c r="D54" s="5"/>
      <c r="E54" s="5"/>
      <c r="F54" s="5"/>
      <c r="G54" s="5"/>
      <c r="H54" s="2"/>
      <c r="I54" s="2"/>
    </row>
    <row r="55" customFormat="false" ht="19.5" hidden="false" customHeight="true" outlineLevel="0" collapsed="false">
      <c r="A55" s="2"/>
      <c r="B55" s="4" t="s">
        <v>37</v>
      </c>
      <c r="C55" s="4"/>
      <c r="D55" s="4"/>
      <c r="E55" s="4"/>
      <c r="F55" s="4"/>
      <c r="G55" s="4"/>
      <c r="H55" s="2"/>
      <c r="I55" s="2"/>
    </row>
    <row r="56" customFormat="false" ht="21.75" hidden="false" customHeight="true" outlineLevel="0" collapsed="false">
      <c r="A56" s="2"/>
      <c r="B56" s="13" t="s">
        <v>26</v>
      </c>
      <c r="C56" s="14" t="s">
        <v>15</v>
      </c>
      <c r="D56" s="14" t="s">
        <v>16</v>
      </c>
      <c r="E56" s="14" t="s">
        <v>17</v>
      </c>
      <c r="F56" s="13" t="s">
        <v>18</v>
      </c>
      <c r="G56" s="14" t="s">
        <v>19</v>
      </c>
      <c r="H56" s="2"/>
      <c r="I56" s="2"/>
    </row>
    <row r="57" customFormat="false" ht="24" hidden="false" customHeight="true" outlineLevel="0" collapsed="false">
      <c r="A57" s="2"/>
      <c r="B57" s="2" t="str">
        <f aca="false">Config!$B$45</f>
        <v>Phase 10 · Operating guide</v>
      </c>
      <c r="C57" s="16" t="n">
        <f aca="false">COUNTIF(Documentation!$A$3:$A$19,$B57)</f>
        <v>8</v>
      </c>
      <c r="D57" s="16" t="n">
        <f aca="false">COUNTIFS(Documentation!$A$3:$A$19,$B57,Documentation!$H$3:$H$19,"Done")</f>
        <v>0</v>
      </c>
      <c r="E57" s="17" t="n">
        <f aca="false">IFERROR($D57/$C57,0)</f>
        <v>0</v>
      </c>
      <c r="F57" s="18" t="str">
        <f aca="false">REPT("█",ROUND($E57*20,0))&amp;REPT("░",20-ROUND($E57*20,0))</f>
        <v>░░░░░░░░░░░░░░░░░░░░</v>
      </c>
      <c r="G57" s="19" t="n">
        <f aca="false">ROUND(SUMIFS(Documentation!$E$3:$E$19,Documentation!$A$3:$A$19,$B57,Documentation!$H$3:$H$19,"&lt;&gt;Done")/60,1)</f>
        <v>5.8</v>
      </c>
      <c r="H57" s="2"/>
      <c r="I57" s="2"/>
    </row>
    <row r="58" customFormat="false" ht="24" hidden="false" customHeight="true" outlineLevel="0" collapsed="false">
      <c r="A58" s="2"/>
      <c r="B58" s="2" t="str">
        <f aca="false">Config!$B$46</f>
        <v>Phase 11 · System explainer (PDF)</v>
      </c>
      <c r="C58" s="16" t="n">
        <f aca="false">COUNTIF(Documentation!$A$3:$A$19,$B58)</f>
        <v>9</v>
      </c>
      <c r="D58" s="16" t="n">
        <f aca="false">COUNTIFS(Documentation!$A$3:$A$19,$B58,Documentation!$H$3:$H$19,"Done")</f>
        <v>0</v>
      </c>
      <c r="E58" s="17" t="n">
        <f aca="false">IFERROR($D58/$C58,0)</f>
        <v>0</v>
      </c>
      <c r="F58" s="18" t="str">
        <f aca="false">REPT("█",ROUND($E58*20,0))&amp;REPT("░",20-ROUND($E58*20,0))</f>
        <v>░░░░░░░░░░░░░░░░░░░░</v>
      </c>
      <c r="G58" s="19" t="n">
        <f aca="false">ROUND(SUMIFS(Documentation!$E$3:$E$19,Documentation!$A$3:$A$19,$B58,Documentation!$H$3:$H$19,"&lt;&gt;Done")/60,1)</f>
        <v>7</v>
      </c>
      <c r="H58" s="2"/>
      <c r="I58" s="2"/>
    </row>
    <row r="59" customFormat="false" ht="25.5" hidden="false" customHeight="true" outlineLevel="0" collapsed="false">
      <c r="A59" s="2"/>
      <c r="B59" s="20" t="s">
        <v>38</v>
      </c>
      <c r="C59" s="21" t="n">
        <f aca="false">COUNTA(Documentation!$B$3:$B$19)</f>
        <v>17</v>
      </c>
      <c r="D59" s="21" t="n">
        <f aca="false">COUNTIF(Documentation!$H$3:$H$19,"Done")</f>
        <v>0</v>
      </c>
      <c r="E59" s="22" t="n">
        <f aca="false">IFERROR($D59/$C59,0)</f>
        <v>0</v>
      </c>
      <c r="F59" s="23" t="str">
        <f aca="false">REPT("█",ROUND($E59*20,0))&amp;REPT("░",20-ROUND($E59*20,0))</f>
        <v>░░░░░░░░░░░░░░░░░░░░</v>
      </c>
      <c r="G59" s="24" t="n">
        <f aca="false">ROUND(SUMIFS(Documentation!$E$3:$E$19,Documentation!$H$3:$H$19,"&lt;&gt;Done")/60,1)</f>
        <v>12.8</v>
      </c>
      <c r="H59" s="2"/>
      <c r="I59" s="2"/>
    </row>
    <row r="60" customFormat="false" ht="21.75" hidden="false" customHeight="true" outlineLevel="0" collapsed="false">
      <c r="A60" s="2"/>
      <c r="B60" s="25" t="s">
        <v>28</v>
      </c>
      <c r="C60" s="26" t="str">
        <f aca="false">SUMIFS(Documentation!$G$3:$G$19,Documentation!$H$3:$H$19,"Done")&amp;" / "&amp;SUM(Documentation!$G$3:$G$19)</f>
        <v>0 / 179</v>
      </c>
      <c r="D60" s="26"/>
      <c r="E60" s="2"/>
      <c r="F60" s="2"/>
      <c r="G60" s="2"/>
      <c r="H60" s="2"/>
      <c r="I60" s="2"/>
    </row>
    <row r="61" customFormat="false" ht="25.5" hidden="false" customHeight="true" outlineLevel="0" collapsed="false">
      <c r="A61" s="2"/>
      <c r="B61" s="2" t="s">
        <v>29</v>
      </c>
      <c r="C61" s="27" t="str">
        <f aca="false">IFERROR(INDEX(Documentation!$B$3:$B$19,MATCH(MIN(Documentation!$L$3:$L$19),Documentation!$L$3:$L$19,0))&amp;"   ·   "&amp;INDEX(Documentation!$C$3:$C$19,MATCH(MIN(Documentation!$L$3:$L$19),Documentation!$L$3:$L$19,0)),"- nothing available in this track -")</f>
        <v>- nothing available in this track -</v>
      </c>
      <c r="D61" s="27"/>
      <c r="E61" s="27"/>
      <c r="F61" s="27"/>
      <c r="G61" s="27"/>
      <c r="H61" s="2"/>
      <c r="I61" s="2"/>
    </row>
    <row r="62" customFormat="false" ht="21.75" hidden="false" customHeight="true" outlineLevel="0" collapsed="false">
      <c r="A62" s="2"/>
      <c r="B62" s="2"/>
      <c r="C62" s="2"/>
      <c r="D62" s="2"/>
      <c r="E62" s="2"/>
      <c r="F62" s="2"/>
      <c r="G62" s="2"/>
      <c r="H62" s="2"/>
      <c r="I62" s="2"/>
    </row>
    <row r="63" customFormat="false" ht="30" hidden="false" customHeight="true" outlineLevel="0" collapsed="false">
      <c r="A63" s="2"/>
      <c r="B63" s="5" t="s">
        <v>39</v>
      </c>
      <c r="C63" s="5"/>
      <c r="D63" s="5"/>
      <c r="E63" s="5"/>
      <c r="F63" s="5"/>
      <c r="G63" s="5"/>
      <c r="H63" s="2"/>
      <c r="I63" s="2"/>
    </row>
    <row r="64" customFormat="false" ht="19.5" hidden="false" customHeight="true" outlineLevel="0" collapsed="false">
      <c r="A64" s="2"/>
      <c r="B64" s="4" t="s">
        <v>40</v>
      </c>
      <c r="C64" s="4"/>
      <c r="D64" s="4"/>
      <c r="E64" s="4"/>
      <c r="F64" s="4"/>
      <c r="G64" s="4"/>
      <c r="H64" s="2"/>
      <c r="I64" s="2"/>
    </row>
    <row r="65" customFormat="false" ht="24" hidden="false" customHeight="true" outlineLevel="0" collapsed="false">
      <c r="A65" s="2"/>
      <c r="B65" s="28" t="str">
        <f aca="false">IF(COUNTIFS(Setup!$A$3:$A$62,"Phase 1 · Environment check",Setup!$H$3:$H$62,"Done")=COUNTIF(Setup!$A$3:$A$62,"Phase 1 · Environment check"),"◆  First Light","·  locked  ·")</f>
        <v>◆  First Light</v>
      </c>
      <c r="C65" s="29" t="s">
        <v>41</v>
      </c>
      <c r="D65" s="29"/>
      <c r="E65" s="29"/>
      <c r="F65" s="29"/>
      <c r="G65" s="29"/>
      <c r="H65" s="2"/>
      <c r="I65" s="2"/>
    </row>
    <row r="66" customFormat="false" ht="24" hidden="false" customHeight="true" outlineLevel="0" collapsed="false">
      <c r="A66" s="2"/>
      <c r="B66" s="28" t="str">
        <f aca="false">IF(COUNTIFS(Setup!$A$3:$A$62,"Phase 2 · Provisional v0.1 assets",Setup!$H$3:$H$62,"Done")=COUNTIF(Setup!$A$3:$A$62,"Phase 2 · Provisional v0.1 assets"),"◆  Paper Trail","·  locked  ·")</f>
        <v>◆  Paper Trail</v>
      </c>
      <c r="C66" s="29" t="s">
        <v>42</v>
      </c>
      <c r="D66" s="29"/>
      <c r="E66" s="29"/>
      <c r="F66" s="29"/>
      <c r="G66" s="29"/>
      <c r="H66" s="2"/>
      <c r="I66" s="2"/>
    </row>
    <row r="67" customFormat="false" ht="24" hidden="false" customHeight="true" outlineLevel="0" collapsed="false">
      <c r="A67" s="2"/>
      <c r="B67" s="28" t="str">
        <f aca="false">IF(COUNTIFS(Setup!$A$3:$A$62,"Phase 3 · Infrastructure setup",Setup!$H$3:$H$62,"Done")=COUNTIF(Setup!$A$3:$A$62,"Phase 3 · Infrastructure setup"),"◆  Foundations","·  locked  ·")</f>
        <v>◆  Foundations</v>
      </c>
      <c r="C67" s="29" t="s">
        <v>43</v>
      </c>
      <c r="D67" s="29"/>
      <c r="E67" s="29"/>
      <c r="F67" s="29"/>
      <c r="G67" s="29"/>
      <c r="H67" s="2"/>
      <c r="I67" s="2"/>
    </row>
    <row r="68" customFormat="false" ht="24" hidden="false" customHeight="true" outlineLevel="0" collapsed="false">
      <c r="A68" s="2"/>
      <c r="B68" s="28" t="str">
        <f aca="false">IF(COUNTIFS(Setup!$A$3:$A$62,"Phase 5 · Configure the routine",Setup!$H$3:$H$62,"Done")=COUNTIF(Setup!$A$3:$A$62,"Phase 5 · Configure the routine"),"◆  Ghost in the Machine","·  locked  ·")</f>
        <v>·  locked  ·</v>
      </c>
      <c r="C68" s="29" t="s">
        <v>44</v>
      </c>
      <c r="D68" s="29"/>
      <c r="E68" s="29"/>
      <c r="F68" s="29"/>
      <c r="G68" s="29"/>
      <c r="H68" s="2"/>
      <c r="I68" s="2"/>
    </row>
    <row r="69" customFormat="false" ht="24" hidden="false" customHeight="true" outlineLevel="0" collapsed="false">
      <c r="A69" s="2"/>
      <c r="B69" s="28" t="str">
        <f aca="false">IF(IFERROR(INDEX(Setup!$H$3:$H$62,MATCH("6.7",Setup!$B$3:$B$62,0)),"")="Done","◆  First Merge","·  locked  ·")</f>
        <v>·  locked  ·</v>
      </c>
      <c r="C69" s="29" t="s">
        <v>45</v>
      </c>
      <c r="D69" s="29"/>
      <c r="E69" s="29"/>
      <c r="F69" s="29"/>
      <c r="G69" s="29"/>
      <c r="H69" s="2"/>
      <c r="I69" s="2"/>
    </row>
    <row r="70" customFormat="false" ht="24" hidden="false" customHeight="true" outlineLevel="0" collapsed="false">
      <c r="A70" s="2"/>
      <c r="B70" s="28" t="str">
        <f aca="false">IF(COUNTIFS(Setup!$A$3:$A$62,"Phase 6 · Smoke test",Setup!$H$3:$H$62,"Done")=COUNTIF(Setup!$A$3:$A$62,"Phase 6 · Smoke test"),"◆  Smoke Cleared","·  locked  ·")</f>
        <v>·  locked  ·</v>
      </c>
      <c r="C70" s="29" t="s">
        <v>46</v>
      </c>
      <c r="D70" s="29"/>
      <c r="E70" s="29"/>
      <c r="F70" s="29"/>
      <c r="G70" s="29"/>
      <c r="H70" s="2"/>
      <c r="I70" s="2"/>
    </row>
    <row r="71" customFormat="false" ht="24" hidden="false" customHeight="true" outlineLevel="0" collapsed="false">
      <c r="A71" s="2"/>
      <c r="B71" s="28" t="str">
        <f aca="false">IF(AND(COUNTIFS(Setup!$A$3:$A$62,"Phase 0 · Design review",Setup!$H$3:$H$62,"Done")=COUNTIF(Setup!$A$3:$A$62,"Phase 0 · Design review"),COUNTIFS(Setup!$A$3:$A$62,"Phase 1 · Environment check",Setup!$H$3:$H$62,"Done")=COUNTIF(Setup!$A$3:$A$62,"Phase 1 · Environment check"),COUNTIFS(Setup!$A$3:$A$62,"Phase 2 · Provisional v0.1 assets",Setup!$H$3:$H$62,"Done")=COUNTIF(Setup!$A$3:$A$62,"Phase 2 · Provisional v0.1 assets"),COUNTIFS(Setup!$A$3:$A$62,"Phase 3 · Infrastructure setup",Setup!$H$3:$H$62,"Done")=COUNTIF(Setup!$A$3:$A$62,"Phase 3 · Infrastructure setup"),COUNTIFS(Setup!$A$3:$A$62,"Phase 4 · Agent &amp; skill definitions",Setup!$H$3:$H$62,"Done")=COUNTIF(Setup!$A$3:$A$62,"Phase 4 · Agent &amp; skill definitions"),COUNTIFS(Setup!$A$3:$A$62,"Phase 5 · Configure the routine",Setup!$H$3:$H$62,"Done")=COUNTIF(Setup!$A$3:$A$62,"Phase 5 · Configure the routine"),COUNTIFS(Setup!$A$3:$A$62,"Phase 6 · Smoke test",Setup!$H$3:$H$62,"Done")=COUNTIF(Setup!$A$3:$A$62,"Phase 6 · Smoke test")),"◆  Factory Running","·  locked  ·")</f>
        <v>·  locked  ·</v>
      </c>
      <c r="C71" s="29" t="s">
        <v>47</v>
      </c>
      <c r="D71" s="29"/>
      <c r="E71" s="29"/>
      <c r="F71" s="29"/>
      <c r="G71" s="29"/>
      <c r="H71" s="2"/>
      <c r="I71" s="2"/>
    </row>
    <row r="72" customFormat="false" ht="24" hidden="false" customHeight="true" outlineLevel="0" collapsed="false">
      <c r="A72" s="2"/>
      <c r="B72" s="28" t="str">
        <f aca="false">IF(COUNTIFS('App 1'!$A$3:$A$31,"Phase 7 · Build app #1 (FPL)",'App 1'!$H$3:$H$31,"Done")=COUNTIF('App 1'!$A$3:$A$31,"Phase 7 · Build app #1 (FPL)"),"◆  Shipped One","·  locked  ·")</f>
        <v>·  locked  ·</v>
      </c>
      <c r="C72" s="29" t="s">
        <v>48</v>
      </c>
      <c r="D72" s="29"/>
      <c r="E72" s="29"/>
      <c r="F72" s="29"/>
      <c r="G72" s="29"/>
      <c r="H72" s="2"/>
      <c r="I72" s="2"/>
    </row>
    <row r="73" customFormat="false" ht="24" hidden="false" customHeight="true" outlineLevel="0" collapsed="false">
      <c r="A73" s="2"/>
      <c r="B73" s="28" t="str">
        <f aca="false">IF(COUNTIFS('App 1'!$A$3:$A$31,"Phase 8 · Retrospective &amp; asset revision",'App 1'!$H$3:$H$31,"Done")=COUNTIF('App 1'!$A$3:$A$31,"Phase 8 · Retrospective &amp; asset revision"),"◆  Evidence-Based","·  locked  ·")</f>
        <v>·  locked  ·</v>
      </c>
      <c r="C73" s="29" t="s">
        <v>49</v>
      </c>
      <c r="D73" s="29"/>
      <c r="E73" s="29"/>
      <c r="F73" s="29"/>
      <c r="G73" s="29"/>
      <c r="H73" s="2"/>
      <c r="I73" s="2"/>
    </row>
    <row r="74" customFormat="false" ht="24" hidden="false" customHeight="true" outlineLevel="0" collapsed="false">
      <c r="A74" s="2"/>
      <c r="B74" s="28" t="str">
        <f aca="false">IF(COUNTIFS('App 2'!$A$3:$A$11,"Phase 9 · App #2 (fitness planner)",'App 2'!$H$3:$H$11,"Done")=COUNTIF('App 2'!$A$3:$A$11,"Phase 9 · App #2 (fitness planner)"),"◆  Two of a Kind","·  locked  ·")</f>
        <v>·  locked  ·</v>
      </c>
      <c r="C74" s="29" t="s">
        <v>50</v>
      </c>
      <c r="D74" s="29"/>
      <c r="E74" s="29"/>
      <c r="F74" s="29"/>
      <c r="G74" s="29"/>
      <c r="H74" s="2"/>
      <c r="I74" s="2"/>
    </row>
    <row r="75" customFormat="false" ht="24" hidden="false" customHeight="true" outlineLevel="0" collapsed="false">
      <c r="A75" s="2"/>
      <c r="B75" s="28" t="str">
        <f aca="false">IF(AND(COUNTIFS(Documentation!$A$3:$A$19,"Phase 10 · Operating guide",Documentation!$H$3:$H$19,"Done")=COUNTIF(Documentation!$A$3:$A$19,"Phase 10 · Operating guide"),COUNTIFS(Documentation!$A$3:$A$19,"Phase 11 · System explainer (PDF)",Documentation!$H$3:$H$19,"Done")=COUNTIF(Documentation!$A$3:$A$19,"Phase 11 · System explainer (PDF)")),"◆  Fully Documented","·  locked  ·")</f>
        <v>·  locked  ·</v>
      </c>
      <c r="C75" s="29" t="s">
        <v>51</v>
      </c>
      <c r="D75" s="29"/>
      <c r="E75" s="29"/>
      <c r="F75" s="29"/>
      <c r="G75" s="29"/>
      <c r="H75" s="2"/>
      <c r="I75" s="2"/>
    </row>
    <row r="76" customFormat="false" ht="21.75" hidden="false" customHeight="true" outlineLevel="0" collapsed="false">
      <c r="A76" s="2"/>
      <c r="B76" s="2"/>
      <c r="C76" s="2"/>
      <c r="D76" s="2"/>
      <c r="E76" s="2"/>
      <c r="F76" s="2"/>
      <c r="G76" s="2"/>
      <c r="H76" s="2"/>
      <c r="I76" s="2"/>
    </row>
    <row r="77" customFormat="false" ht="21.75" hidden="false" customHeight="true" outlineLevel="0" collapsed="false">
      <c r="A77" s="2"/>
      <c r="B77" s="2"/>
      <c r="C77" s="2"/>
      <c r="D77" s="2"/>
      <c r="E77" s="2"/>
      <c r="F77" s="2"/>
      <c r="G77" s="2"/>
      <c r="H77" s="2"/>
      <c r="I77" s="2"/>
    </row>
    <row r="78" customFormat="false" ht="21.75" hidden="false" customHeight="true" outlineLevel="0" collapsed="false">
      <c r="A78" s="2"/>
      <c r="B78" s="2"/>
      <c r="C78" s="2"/>
      <c r="D78" s="2"/>
      <c r="E78" s="2"/>
      <c r="F78" s="2"/>
      <c r="G78" s="2"/>
      <c r="H78" s="2"/>
      <c r="I78" s="2"/>
    </row>
    <row r="79" customFormat="false" ht="21.75" hidden="false" customHeight="true" outlineLevel="0" collapsed="false">
      <c r="A79" s="2"/>
      <c r="B79" s="2"/>
      <c r="C79" s="2"/>
      <c r="D79" s="2"/>
      <c r="E79" s="2"/>
      <c r="F79" s="2"/>
      <c r="G79" s="2"/>
      <c r="H79" s="2"/>
      <c r="I79" s="2"/>
    </row>
    <row r="80" customFormat="false" ht="21.75" hidden="false" customHeight="true" outlineLevel="0" collapsed="false">
      <c r="A80" s="2"/>
      <c r="B80" s="2"/>
      <c r="C80" s="2"/>
      <c r="D80" s="2"/>
      <c r="E80" s="2"/>
      <c r="F80" s="2"/>
      <c r="G80" s="2"/>
      <c r="H80" s="2"/>
      <c r="I80" s="2"/>
    </row>
    <row r="81" customFormat="false" ht="21.75" hidden="false" customHeight="true" outlineLevel="0" collapsed="false">
      <c r="A81" s="2"/>
      <c r="B81" s="2"/>
      <c r="C81" s="2"/>
      <c r="D81" s="2"/>
      <c r="E81" s="2"/>
      <c r="F81" s="2"/>
      <c r="G81" s="2"/>
      <c r="H81" s="2"/>
      <c r="I81" s="2"/>
    </row>
  </sheetData>
  <mergeCells count="35">
    <mergeCell ref="B1:G1"/>
    <mergeCell ref="B2:G2"/>
    <mergeCell ref="B4:G4"/>
    <mergeCell ref="C13:G13"/>
    <mergeCell ref="B15:G15"/>
    <mergeCell ref="B16:G16"/>
    <mergeCell ref="B23:G23"/>
    <mergeCell ref="B24:G24"/>
    <mergeCell ref="C34:D34"/>
    <mergeCell ref="C35:G35"/>
    <mergeCell ref="B37:G37"/>
    <mergeCell ref="B38:G38"/>
    <mergeCell ref="C43:D43"/>
    <mergeCell ref="C44:G44"/>
    <mergeCell ref="B46:G46"/>
    <mergeCell ref="B47:G47"/>
    <mergeCell ref="C51:D51"/>
    <mergeCell ref="C52:G52"/>
    <mergeCell ref="B54:G54"/>
    <mergeCell ref="B55:G55"/>
    <mergeCell ref="C60:D60"/>
    <mergeCell ref="C61:G61"/>
    <mergeCell ref="B63:G63"/>
    <mergeCell ref="B64:G64"/>
    <mergeCell ref="C65:G65"/>
    <mergeCell ref="C66:G66"/>
    <mergeCell ref="C67:G67"/>
    <mergeCell ref="C68:G68"/>
    <mergeCell ref="C69:G69"/>
    <mergeCell ref="C70:G70"/>
    <mergeCell ref="C71:G71"/>
    <mergeCell ref="C72:G72"/>
    <mergeCell ref="C73:G73"/>
    <mergeCell ref="C74:G74"/>
    <mergeCell ref="C75:G75"/>
  </mergeCells>
  <conditionalFormatting sqref="E18:E21">
    <cfRule type="dataBar" priority="2">
      <dataBar showValue="1" minLength="10" maxLength="90">
        <cfvo type="num" val="0"/>
        <cfvo type="num" val="1"/>
        <color rgb="FF4E7CA8"/>
      </dataBar>
      <extLst>
        <ext xmlns:x14="http://schemas.microsoft.com/office/spreadsheetml/2009/9/main" uri="{B025F937-C7B1-47D3-B67F-A62EFF666E3E}">
          <x14:id>{AE8F4EC1-5C25-4E6F-A573-FD7FA96DCC14}</x14:id>
        </ext>
      </extLst>
    </cfRule>
  </conditionalFormatting>
  <conditionalFormatting sqref="E26:E32">
    <cfRule type="dataBar" priority="3">
      <dataBar showValue="1" minLength="10" maxLength="90">
        <cfvo type="num" val="0"/>
        <cfvo type="num" val="1"/>
        <color rgb="FF4E7CA8"/>
      </dataBar>
      <extLst>
        <ext xmlns:x14="http://schemas.microsoft.com/office/spreadsheetml/2009/9/main" uri="{B025F937-C7B1-47D3-B67F-A62EFF666E3E}">
          <x14:id>{79887B89-84CC-4B67-BA10-25BDEE475CB2}</x14:id>
        </ext>
      </extLst>
    </cfRule>
  </conditionalFormatting>
  <conditionalFormatting sqref="E40:E41">
    <cfRule type="dataBar" priority="4">
      <dataBar showValue="1" minLength="10" maxLength="90">
        <cfvo type="num" val="0"/>
        <cfvo type="num" val="1"/>
        <color rgb="FF4E7CA8"/>
      </dataBar>
      <extLst>
        <ext xmlns:x14="http://schemas.microsoft.com/office/spreadsheetml/2009/9/main" uri="{B025F937-C7B1-47D3-B67F-A62EFF666E3E}">
          <x14:id>{C2904CAB-8B5C-4B41-BF3C-423AC8D97436}</x14:id>
        </ext>
      </extLst>
    </cfRule>
  </conditionalFormatting>
  <conditionalFormatting sqref="E49">
    <cfRule type="dataBar" priority="5">
      <dataBar showValue="1" minLength="10" maxLength="90">
        <cfvo type="num" val="0"/>
        <cfvo type="num" val="1"/>
        <color rgb="FF4E7CA8"/>
      </dataBar>
      <extLst>
        <ext xmlns:x14="http://schemas.microsoft.com/office/spreadsheetml/2009/9/main" uri="{B025F937-C7B1-47D3-B67F-A62EFF666E3E}">
          <x14:id>{ACC3C9EB-2140-41F9-B771-7E7034A280A4}</x14:id>
        </ext>
      </extLst>
    </cfRule>
  </conditionalFormatting>
  <conditionalFormatting sqref="E57:E58">
    <cfRule type="dataBar" priority="6">
      <dataBar showValue="1" minLength="10" maxLength="90">
        <cfvo type="num" val="0"/>
        <cfvo type="num" val="1"/>
        <color rgb="FF4E7CA8"/>
      </dataBar>
      <extLst>
        <ext xmlns:x14="http://schemas.microsoft.com/office/spreadsheetml/2009/9/main" uri="{B025F937-C7B1-47D3-B67F-A62EFF666E3E}">
          <x14:id>{D6382A42-66DB-4A6B-8930-2069BBD6D980}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E8F4EC1-5C25-4E6F-A573-FD7FA96DCC14}">
            <x14:dataBar minLength="10" maxLength="90" axisPosition="none" gradient="true">
              <x14:cfvo type="num">
                <xm:f>0</xm:f>
              </x14:cfvo>
              <x14:cfvo type="num">
                <xm:f>1</xm:f>
              </x14:cfvo>
              <x14:negativeFillColor rgb="FF4E7CA8"/>
              <x14:axisColor rgb="FF000000"/>
            </x14:dataBar>
          </x14:cfRule>
          <xm:sqref>E18:E21</xm:sqref>
        </x14:conditionalFormatting>
        <x14:conditionalFormatting xmlns:xm="http://schemas.microsoft.com/office/excel/2006/main">
          <x14:cfRule type="dataBar" id="{79887B89-84CC-4B67-BA10-25BDEE475CB2}">
            <x14:dataBar minLength="10" maxLength="90" axisPosition="none" gradient="true">
              <x14:cfvo type="num">
                <xm:f>0</xm:f>
              </x14:cfvo>
              <x14:cfvo type="num">
                <xm:f>1</xm:f>
              </x14:cfvo>
              <x14:negativeFillColor rgb="FF4E7CA8"/>
              <x14:axisColor rgb="FF000000"/>
            </x14:dataBar>
          </x14:cfRule>
          <xm:sqref>E26:E32</xm:sqref>
        </x14:conditionalFormatting>
        <x14:conditionalFormatting xmlns:xm="http://schemas.microsoft.com/office/excel/2006/main">
          <x14:cfRule type="dataBar" id="{C2904CAB-8B5C-4B41-BF3C-423AC8D97436}">
            <x14:dataBar minLength="10" maxLength="90" axisPosition="none" gradient="true">
              <x14:cfvo type="num">
                <xm:f>0</xm:f>
              </x14:cfvo>
              <x14:cfvo type="num">
                <xm:f>1</xm:f>
              </x14:cfvo>
              <x14:negativeFillColor rgb="FF4E7CA8"/>
              <x14:axisColor rgb="FF000000"/>
            </x14:dataBar>
          </x14:cfRule>
          <xm:sqref>E40:E41</xm:sqref>
        </x14:conditionalFormatting>
        <x14:conditionalFormatting xmlns:xm="http://schemas.microsoft.com/office/excel/2006/main">
          <x14:cfRule type="dataBar" id="{ACC3C9EB-2140-41F9-B771-7E7034A280A4}">
            <x14:dataBar minLength="10" maxLength="90" axisPosition="none" gradient="true">
              <x14:cfvo type="num">
                <xm:f>0</xm:f>
              </x14:cfvo>
              <x14:cfvo type="num">
                <xm:f>1</xm:f>
              </x14:cfvo>
              <x14:negativeFillColor rgb="FF4E7CA8"/>
              <x14:axisColor rgb="FF000000"/>
            </x14:dataBar>
          </x14:cfRule>
          <xm:sqref>E49</xm:sqref>
        </x14:conditionalFormatting>
        <x14:conditionalFormatting xmlns:xm="http://schemas.microsoft.com/office/excel/2006/main">
          <x14:cfRule type="dataBar" id="{D6382A42-66DB-4A6B-8930-2069BBD6D980}">
            <x14:dataBar minLength="10" maxLength="90" axisPosition="none" gradient="true">
              <x14:cfvo type="num">
                <xm:f>0</xm:f>
              </x14:cfvo>
              <x14:cfvo type="num">
                <xm:f>1</xm:f>
              </x14:cfvo>
              <x14:negativeFillColor rgb="FF4E7CA8"/>
              <x14:axisColor rgb="FF000000"/>
            </x14:dataBar>
          </x14:cfRule>
          <xm:sqref>E57:E58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0"/>
    <col collapsed="false" customWidth="true" hidden="false" outlineLevel="0" max="3" min="3" style="1" width="46"/>
    <col collapsed="false" customWidth="true" hidden="false" outlineLevel="0" max="4" min="4" style="1" width="58"/>
    <col collapsed="false" customWidth="true" hidden="false" outlineLevel="0" max="6" min="5" style="1" width="12"/>
    <col collapsed="false" customWidth="true" hidden="false" outlineLevel="0" max="7" min="7" style="1" width="8"/>
    <col collapsed="false" customWidth="true" hidden="false" outlineLevel="0" max="8" min="8" style="1" width="15"/>
    <col collapsed="false" customWidth="true" hidden="false" outlineLevel="0" max="9" min="9" style="1" width="12"/>
    <col collapsed="false" customWidth="true" hidden="false" outlineLevel="0" max="10" min="10" style="1" width="74"/>
    <col collapsed="false" customWidth="true" hidden="false" outlineLevel="0" max="12" min="11" style="1" width="14"/>
  </cols>
  <sheetData>
    <row r="1" customFormat="false" ht="33.75" hidden="false" customHeight="true" outlineLevel="0" collapsed="false">
      <c r="A1" s="30" t="s">
        <v>52</v>
      </c>
      <c r="B1" s="30"/>
      <c r="C1" s="31" t="s">
        <v>25</v>
      </c>
      <c r="D1" s="31"/>
      <c r="E1" s="31"/>
      <c r="F1" s="31"/>
      <c r="G1" s="31"/>
      <c r="H1" s="31"/>
      <c r="I1" s="31"/>
      <c r="J1" s="31"/>
      <c r="K1" s="2"/>
      <c r="L1" s="2"/>
    </row>
    <row r="2" customFormat="false" ht="39.75" hidden="false" customHeight="true" outlineLevel="0" collapsed="false">
      <c r="A2" s="32" t="s">
        <v>26</v>
      </c>
      <c r="B2" s="33" t="s">
        <v>53</v>
      </c>
      <c r="C2" s="32" t="s">
        <v>54</v>
      </c>
      <c r="D2" s="32" t="s">
        <v>55</v>
      </c>
      <c r="E2" s="33" t="s">
        <v>56</v>
      </c>
      <c r="F2" s="33" t="s">
        <v>57</v>
      </c>
      <c r="G2" s="33" t="s">
        <v>58</v>
      </c>
      <c r="H2" s="33" t="s">
        <v>59</v>
      </c>
      <c r="I2" s="33" t="s">
        <v>60</v>
      </c>
      <c r="J2" s="32" t="s">
        <v>61</v>
      </c>
      <c r="K2" s="33" t="s">
        <v>62</v>
      </c>
      <c r="L2" s="33" t="s">
        <v>63</v>
      </c>
    </row>
    <row r="3" customFormat="false" ht="40.5" hidden="false" customHeight="true" outlineLevel="0" collapsed="false">
      <c r="A3" s="34" t="s">
        <v>64</v>
      </c>
      <c r="B3" s="35" t="s">
        <v>65</v>
      </c>
      <c r="C3" s="34" t="s">
        <v>66</v>
      </c>
      <c r="D3" s="34" t="s">
        <v>67</v>
      </c>
      <c r="E3" s="36" t="n">
        <v>15</v>
      </c>
      <c r="F3" s="36" t="n">
        <v>1</v>
      </c>
      <c r="G3" s="36" t="n">
        <f aca="false">IFERROR(INDEX(Config!$E$5:$E$9,MATCH($F3,Config!$D$5:$D$9,0)),0)</f>
        <v>4</v>
      </c>
      <c r="H3" s="35" t="s">
        <v>16</v>
      </c>
      <c r="I3" s="35"/>
      <c r="J3" s="34" t="s">
        <v>68</v>
      </c>
      <c r="K3" s="35" t="str">
        <f aca="false">IF($I3="","No",IF(IFERROR(INDEX(Setup!$H$3:$H$62,MATCH($I3,Setup!$B$3:$B$62,0)),IFERROR(INDEX('App 1'!$H$3:$H$31,MATCH($I3,'App 1'!$B$3:$B$31,0)),IFERROR(INDEX('App 2'!$H$3:$H$11,MATCH($I3,'App 2'!$B$3:$B$11,0)),IFERROR(INDEX(Documentation!$H$3:$H$19,MATCH($I3,Documentation!$B$3:$B$19,0)),"Done"))))="Done","No","Yes"))</f>
        <v>No</v>
      </c>
      <c r="L3" s="36" t="str">
        <f aca="false">IF(AND($H3&lt;&gt;"Done",$K3="No"),ROW(),"")</f>
        <v/>
      </c>
    </row>
    <row r="4" customFormat="false" ht="56.25" hidden="false" customHeight="true" outlineLevel="0" collapsed="false">
      <c r="A4" s="34" t="s">
        <v>64</v>
      </c>
      <c r="B4" s="35" t="s">
        <v>69</v>
      </c>
      <c r="C4" s="34" t="s">
        <v>70</v>
      </c>
      <c r="D4" s="34" t="s">
        <v>71</v>
      </c>
      <c r="E4" s="36" t="n">
        <v>30</v>
      </c>
      <c r="F4" s="36" t="n">
        <v>2</v>
      </c>
      <c r="G4" s="36" t="n">
        <f aca="false">IFERROR(INDEX(Config!$E$5:$E$9,MATCH($F4,Config!$D$5:$D$9,0)),0)</f>
        <v>7</v>
      </c>
      <c r="H4" s="35" t="s">
        <v>16</v>
      </c>
      <c r="I4" s="35" t="s">
        <v>65</v>
      </c>
      <c r="J4" s="34" t="s">
        <v>72</v>
      </c>
      <c r="K4" s="35" t="str">
        <f aca="false">IF($I4="","No",IF(IFERROR(INDEX(Setup!$H$3:$H$62,MATCH($I4,Setup!$B$3:$B$62,0)),IFERROR(INDEX('App 1'!$H$3:$H$31,MATCH($I4,'App 1'!$B$3:$B$31,0)),IFERROR(INDEX('App 2'!$H$3:$H$11,MATCH($I4,'App 2'!$B$3:$B$11,0)),IFERROR(INDEX(Documentation!$H$3:$H$19,MATCH($I4,Documentation!$B$3:$B$19,0)),"Done"))))="Done","No","Yes"))</f>
        <v>No</v>
      </c>
      <c r="L4" s="36" t="str">
        <f aca="false">IF(AND($H4&lt;&gt;"Done",$K4="No"),ROW(),"")</f>
        <v/>
      </c>
    </row>
    <row r="5" customFormat="false" ht="56.25" hidden="false" customHeight="true" outlineLevel="0" collapsed="false">
      <c r="A5" s="34" t="s">
        <v>64</v>
      </c>
      <c r="B5" s="35" t="s">
        <v>73</v>
      </c>
      <c r="C5" s="34" t="s">
        <v>74</v>
      </c>
      <c r="D5" s="34" t="s">
        <v>75</v>
      </c>
      <c r="E5" s="36" t="n">
        <v>20</v>
      </c>
      <c r="F5" s="36" t="n">
        <v>1</v>
      </c>
      <c r="G5" s="36" t="n">
        <f aca="false">IFERROR(INDEX(Config!$E$5:$E$9,MATCH($F5,Config!$D$5:$D$9,0)),0)</f>
        <v>4</v>
      </c>
      <c r="H5" s="35" t="s">
        <v>16</v>
      </c>
      <c r="I5" s="35" t="s">
        <v>69</v>
      </c>
      <c r="J5" s="34" t="s">
        <v>76</v>
      </c>
      <c r="K5" s="35" t="str">
        <f aca="false">IF($I5="","No",IF(IFERROR(INDEX(Setup!$H$3:$H$62,MATCH($I5,Setup!$B$3:$B$62,0)),IFERROR(INDEX('App 1'!$H$3:$H$31,MATCH($I5,'App 1'!$B$3:$B$31,0)),IFERROR(INDEX('App 2'!$H$3:$H$11,MATCH($I5,'App 2'!$B$3:$B$11,0)),IFERROR(INDEX(Documentation!$H$3:$H$19,MATCH($I5,Documentation!$B$3:$B$19,0)),"Done"))))="Done","No","Yes"))</f>
        <v>No</v>
      </c>
      <c r="L5" s="36" t="str">
        <f aca="false">IF(AND($H5&lt;&gt;"Done",$K5="No"),ROW(),"")</f>
        <v/>
      </c>
    </row>
    <row r="6" customFormat="false" ht="25.5" hidden="false" customHeight="true" outlineLevel="0" collapsed="false">
      <c r="A6" s="34" t="s">
        <v>77</v>
      </c>
      <c r="B6" s="35" t="s">
        <v>78</v>
      </c>
      <c r="C6" s="34" t="s">
        <v>79</v>
      </c>
      <c r="D6" s="34" t="s">
        <v>80</v>
      </c>
      <c r="E6" s="36" t="n">
        <v>10</v>
      </c>
      <c r="F6" s="36" t="n">
        <v>1</v>
      </c>
      <c r="G6" s="36" t="n">
        <f aca="false">IFERROR(INDEX(Config!$E$5:$E$9,MATCH($F6,Config!$D$5:$D$9,0)),0)</f>
        <v>4</v>
      </c>
      <c r="H6" s="35" t="s">
        <v>16</v>
      </c>
      <c r="I6" s="35"/>
      <c r="J6" s="34" t="s">
        <v>81</v>
      </c>
      <c r="K6" s="35" t="str">
        <f aca="false">IF($I6="","No",IF(IFERROR(INDEX(Setup!$H$3:$H$62,MATCH($I6,Setup!$B$3:$B$62,0)),IFERROR(INDEX('App 1'!$H$3:$H$31,MATCH($I6,'App 1'!$B$3:$B$31,0)),IFERROR(INDEX('App 2'!$H$3:$H$11,MATCH($I6,'App 2'!$B$3:$B$11,0)),IFERROR(INDEX(Documentation!$H$3:$H$19,MATCH($I6,Documentation!$B$3:$B$19,0)),"Done"))))="Done","No","Yes"))</f>
        <v>No</v>
      </c>
      <c r="L6" s="36" t="str">
        <f aca="false">IF(AND($H6&lt;&gt;"Done",$K6="No"),ROW(),"")</f>
        <v/>
      </c>
    </row>
    <row r="7" customFormat="false" ht="40.5" hidden="false" customHeight="true" outlineLevel="0" collapsed="false">
      <c r="A7" s="34" t="s">
        <v>77</v>
      </c>
      <c r="B7" s="35" t="s">
        <v>82</v>
      </c>
      <c r="C7" s="34" t="s">
        <v>83</v>
      </c>
      <c r="D7" s="34" t="s">
        <v>84</v>
      </c>
      <c r="E7" s="36" t="n">
        <v>15</v>
      </c>
      <c r="F7" s="36" t="n">
        <v>2</v>
      </c>
      <c r="G7" s="36" t="n">
        <f aca="false">IFERROR(INDEX(Config!$E$5:$E$9,MATCH($F7,Config!$D$5:$D$9,0)),0)</f>
        <v>7</v>
      </c>
      <c r="H7" s="35" t="s">
        <v>16</v>
      </c>
      <c r="I7" s="35" t="s">
        <v>78</v>
      </c>
      <c r="J7" s="34" t="s">
        <v>85</v>
      </c>
      <c r="K7" s="35" t="str">
        <f aca="false">IF($I7="","No",IF(IFERROR(INDEX(Setup!$H$3:$H$62,MATCH($I7,Setup!$B$3:$B$62,0)),IFERROR(INDEX('App 1'!$H$3:$H$31,MATCH($I7,'App 1'!$B$3:$B$31,0)),IFERROR(INDEX('App 2'!$H$3:$H$11,MATCH($I7,'App 2'!$B$3:$B$11,0)),IFERROR(INDEX(Documentation!$H$3:$H$19,MATCH($I7,Documentation!$B$3:$B$19,0)),"Done"))))="Done","No","Yes"))</f>
        <v>No</v>
      </c>
      <c r="L7" s="36" t="str">
        <f aca="false">IF(AND($H7&lt;&gt;"Done",$K7="No"),ROW(),"")</f>
        <v/>
      </c>
    </row>
    <row r="8" customFormat="false" ht="40.5" hidden="false" customHeight="true" outlineLevel="0" collapsed="false">
      <c r="A8" s="34" t="s">
        <v>77</v>
      </c>
      <c r="B8" s="35" t="s">
        <v>86</v>
      </c>
      <c r="C8" s="34" t="s">
        <v>87</v>
      </c>
      <c r="D8" s="34" t="s">
        <v>88</v>
      </c>
      <c r="E8" s="36" t="n">
        <v>20</v>
      </c>
      <c r="F8" s="36" t="n">
        <v>2</v>
      </c>
      <c r="G8" s="36" t="n">
        <f aca="false">IFERROR(INDEX(Config!$E$5:$E$9,MATCH($F8,Config!$D$5:$D$9,0)),0)</f>
        <v>7</v>
      </c>
      <c r="H8" s="35" t="s">
        <v>16</v>
      </c>
      <c r="I8" s="35" t="s">
        <v>82</v>
      </c>
      <c r="J8" s="34" t="s">
        <v>89</v>
      </c>
      <c r="K8" s="35" t="str">
        <f aca="false">IF($I8="","No",IF(IFERROR(INDEX(Setup!$H$3:$H$62,MATCH($I8,Setup!$B$3:$B$62,0)),IFERROR(INDEX('App 1'!$H$3:$H$31,MATCH($I8,'App 1'!$B$3:$B$31,0)),IFERROR(INDEX('App 2'!$H$3:$H$11,MATCH($I8,'App 2'!$B$3:$B$11,0)),IFERROR(INDEX(Documentation!$H$3:$H$19,MATCH($I8,Documentation!$B$3:$B$19,0)),"Done"))))="Done","No","Yes"))</f>
        <v>No</v>
      </c>
      <c r="L8" s="36" t="str">
        <f aca="false">IF(AND($H8&lt;&gt;"Done",$K8="No"),ROW(),"")</f>
        <v/>
      </c>
    </row>
    <row r="9" customFormat="false" ht="40.5" hidden="false" customHeight="true" outlineLevel="0" collapsed="false">
      <c r="A9" s="34" t="s">
        <v>77</v>
      </c>
      <c r="B9" s="35" t="s">
        <v>90</v>
      </c>
      <c r="C9" s="34" t="s">
        <v>91</v>
      </c>
      <c r="D9" s="34" t="s">
        <v>92</v>
      </c>
      <c r="E9" s="36" t="n">
        <v>10</v>
      </c>
      <c r="F9" s="36" t="n">
        <v>1</v>
      </c>
      <c r="G9" s="36" t="n">
        <f aca="false">IFERROR(INDEX(Config!$E$5:$E$9,MATCH($F9,Config!$D$5:$D$9,0)),0)</f>
        <v>4</v>
      </c>
      <c r="H9" s="35" t="s">
        <v>16</v>
      </c>
      <c r="I9" s="35"/>
      <c r="J9" s="34" t="s">
        <v>93</v>
      </c>
      <c r="K9" s="35" t="str">
        <f aca="false">IF($I9="","No",IF(IFERROR(INDEX(Setup!$H$3:$H$62,MATCH($I9,Setup!$B$3:$B$62,0)),IFERROR(INDEX('App 1'!$H$3:$H$31,MATCH($I9,'App 1'!$B$3:$B$31,0)),IFERROR(INDEX('App 2'!$H$3:$H$11,MATCH($I9,'App 2'!$B$3:$B$11,0)),IFERROR(INDEX(Documentation!$H$3:$H$19,MATCH($I9,Documentation!$B$3:$B$19,0)),"Done"))))="Done","No","Yes"))</f>
        <v>No</v>
      </c>
      <c r="L9" s="36" t="str">
        <f aca="false">IF(AND($H9&lt;&gt;"Done",$K9="No"),ROW(),"")</f>
        <v/>
      </c>
    </row>
    <row r="10" customFormat="false" ht="40.5" hidden="false" customHeight="true" outlineLevel="0" collapsed="false">
      <c r="A10" s="34" t="s">
        <v>77</v>
      </c>
      <c r="B10" s="35" t="s">
        <v>94</v>
      </c>
      <c r="C10" s="34" t="s">
        <v>95</v>
      </c>
      <c r="D10" s="34" t="s">
        <v>96</v>
      </c>
      <c r="E10" s="36" t="n">
        <v>15</v>
      </c>
      <c r="F10" s="36" t="n">
        <v>1</v>
      </c>
      <c r="G10" s="36" t="n">
        <f aca="false">IFERROR(INDEX(Config!$E$5:$E$9,MATCH($F10,Config!$D$5:$D$9,0)),0)</f>
        <v>4</v>
      </c>
      <c r="H10" s="35" t="s">
        <v>16</v>
      </c>
      <c r="I10" s="35"/>
      <c r="J10" s="34" t="s">
        <v>97</v>
      </c>
      <c r="K10" s="35" t="str">
        <f aca="false">IF($I10="","No",IF(IFERROR(INDEX(Setup!$H$3:$H$62,MATCH($I10,Setup!$B$3:$B$62,0)),IFERROR(INDEX('App 1'!$H$3:$H$31,MATCH($I10,'App 1'!$B$3:$B$31,0)),IFERROR(INDEX('App 2'!$H$3:$H$11,MATCH($I10,'App 2'!$B$3:$B$11,0)),IFERROR(INDEX(Documentation!$H$3:$H$19,MATCH($I10,Documentation!$B$3:$B$19,0)),"Done"))))="Done","No","Yes"))</f>
        <v>No</v>
      </c>
      <c r="L10" s="36" t="str">
        <f aca="false">IF(AND($H10&lt;&gt;"Done",$K10="No"),ROW(),"")</f>
        <v/>
      </c>
    </row>
    <row r="11" customFormat="false" ht="40.5" hidden="false" customHeight="true" outlineLevel="0" collapsed="false">
      <c r="A11" s="34" t="s">
        <v>77</v>
      </c>
      <c r="B11" s="35" t="s">
        <v>98</v>
      </c>
      <c r="C11" s="34" t="s">
        <v>99</v>
      </c>
      <c r="D11" s="34" t="s">
        <v>100</v>
      </c>
      <c r="E11" s="36" t="n">
        <v>15</v>
      </c>
      <c r="F11" s="36" t="n">
        <v>1</v>
      </c>
      <c r="G11" s="36" t="n">
        <f aca="false">IFERROR(INDEX(Config!$E$5:$E$9,MATCH($F11,Config!$D$5:$D$9,0)),0)</f>
        <v>4</v>
      </c>
      <c r="H11" s="35" t="s">
        <v>16</v>
      </c>
      <c r="I11" s="35" t="s">
        <v>90</v>
      </c>
      <c r="J11" s="34" t="s">
        <v>101</v>
      </c>
      <c r="K11" s="35" t="str">
        <f aca="false">IF($I11="","No",IF(IFERROR(INDEX(Setup!$H$3:$H$62,MATCH($I11,Setup!$B$3:$B$62,0)),IFERROR(INDEX('App 1'!$H$3:$H$31,MATCH($I11,'App 1'!$B$3:$B$31,0)),IFERROR(INDEX('App 2'!$H$3:$H$11,MATCH($I11,'App 2'!$B$3:$B$11,0)),IFERROR(INDEX(Documentation!$H$3:$H$19,MATCH($I11,Documentation!$B$3:$B$19,0)),"Done"))))="Done","No","Yes"))</f>
        <v>No</v>
      </c>
      <c r="L11" s="36" t="str">
        <f aca="false">IF(AND($H11&lt;&gt;"Done",$K11="No"),ROW(),"")</f>
        <v/>
      </c>
    </row>
    <row r="12" customFormat="false" ht="40.5" hidden="false" customHeight="true" outlineLevel="0" collapsed="false">
      <c r="A12" s="34" t="s">
        <v>102</v>
      </c>
      <c r="B12" s="35" t="s">
        <v>103</v>
      </c>
      <c r="C12" s="34" t="s">
        <v>104</v>
      </c>
      <c r="D12" s="34" t="s">
        <v>105</v>
      </c>
      <c r="E12" s="36" t="n">
        <v>20</v>
      </c>
      <c r="F12" s="36" t="n">
        <v>1</v>
      </c>
      <c r="G12" s="36" t="n">
        <f aca="false">IFERROR(INDEX(Config!$E$5:$E$9,MATCH($F12,Config!$D$5:$D$9,0)),0)</f>
        <v>4</v>
      </c>
      <c r="H12" s="35" t="s">
        <v>16</v>
      </c>
      <c r="I12" s="35"/>
      <c r="J12" s="34" t="s">
        <v>106</v>
      </c>
      <c r="K12" s="35" t="str">
        <f aca="false">IF($I12="","No",IF(IFERROR(INDEX(Setup!$H$3:$H$62,MATCH($I12,Setup!$B$3:$B$62,0)),IFERROR(INDEX('App 1'!$H$3:$H$31,MATCH($I12,'App 1'!$B$3:$B$31,0)),IFERROR(INDEX('App 2'!$H$3:$H$11,MATCH($I12,'App 2'!$B$3:$B$11,0)),IFERROR(INDEX(Documentation!$H$3:$H$19,MATCH($I12,Documentation!$B$3:$B$19,0)),"Done"))))="Done","No","Yes"))</f>
        <v>No</v>
      </c>
      <c r="L12" s="36" t="str">
        <f aca="false">IF(AND($H12&lt;&gt;"Done",$K12="No"),ROW(),"")</f>
        <v/>
      </c>
    </row>
    <row r="13" customFormat="false" ht="40.5" hidden="false" customHeight="true" outlineLevel="0" collapsed="false">
      <c r="A13" s="34" t="s">
        <v>102</v>
      </c>
      <c r="B13" s="35" t="s">
        <v>107</v>
      </c>
      <c r="C13" s="34" t="s">
        <v>108</v>
      </c>
      <c r="D13" s="34" t="s">
        <v>109</v>
      </c>
      <c r="E13" s="36" t="n">
        <v>40</v>
      </c>
      <c r="F13" s="36" t="n">
        <v>2</v>
      </c>
      <c r="G13" s="36" t="n">
        <f aca="false">IFERROR(INDEX(Config!$E$5:$E$9,MATCH($F13,Config!$D$5:$D$9,0)),0)</f>
        <v>7</v>
      </c>
      <c r="H13" s="35" t="s">
        <v>16</v>
      </c>
      <c r="I13" s="35" t="s">
        <v>103</v>
      </c>
      <c r="J13" s="34" t="s">
        <v>110</v>
      </c>
      <c r="K13" s="35" t="str">
        <f aca="false">IF($I13="","No",IF(IFERROR(INDEX(Setup!$H$3:$H$62,MATCH($I13,Setup!$B$3:$B$62,0)),IFERROR(INDEX('App 1'!$H$3:$H$31,MATCH($I13,'App 1'!$B$3:$B$31,0)),IFERROR(INDEX('App 2'!$H$3:$H$11,MATCH($I13,'App 2'!$B$3:$B$11,0)),IFERROR(INDEX(Documentation!$H$3:$H$19,MATCH($I13,Documentation!$B$3:$B$19,0)),"Done"))))="Done","No","Yes"))</f>
        <v>No</v>
      </c>
      <c r="L13" s="36" t="str">
        <f aca="false">IF(AND($H13&lt;&gt;"Done",$K13="No"),ROW(),"")</f>
        <v/>
      </c>
    </row>
    <row r="14" customFormat="false" ht="40.5" hidden="false" customHeight="true" outlineLevel="0" collapsed="false">
      <c r="A14" s="34" t="s">
        <v>102</v>
      </c>
      <c r="B14" s="35" t="s">
        <v>111</v>
      </c>
      <c r="C14" s="34" t="s">
        <v>112</v>
      </c>
      <c r="D14" s="34" t="s">
        <v>113</v>
      </c>
      <c r="E14" s="36" t="n">
        <v>20</v>
      </c>
      <c r="F14" s="36" t="n">
        <v>2</v>
      </c>
      <c r="G14" s="36" t="n">
        <f aca="false">IFERROR(INDEX(Config!$E$5:$E$9,MATCH($F14,Config!$D$5:$D$9,0)),0)</f>
        <v>7</v>
      </c>
      <c r="H14" s="35" t="s">
        <v>16</v>
      </c>
      <c r="I14" s="35" t="s">
        <v>107</v>
      </c>
      <c r="J14" s="34" t="s">
        <v>114</v>
      </c>
      <c r="K14" s="35" t="str">
        <f aca="false">IF($I14="","No",IF(IFERROR(INDEX(Setup!$H$3:$H$62,MATCH($I14,Setup!$B$3:$B$62,0)),IFERROR(INDEX('App 1'!$H$3:$H$31,MATCH($I14,'App 1'!$B$3:$B$31,0)),IFERROR(INDEX('App 2'!$H$3:$H$11,MATCH($I14,'App 2'!$B$3:$B$11,0)),IFERROR(INDEX(Documentation!$H$3:$H$19,MATCH($I14,Documentation!$B$3:$B$19,0)),"Done"))))="Done","No","Yes"))</f>
        <v>No</v>
      </c>
      <c r="L14" s="36" t="str">
        <f aca="false">IF(AND($H14&lt;&gt;"Done",$K14="No"),ROW(),"")</f>
        <v/>
      </c>
    </row>
    <row r="15" customFormat="false" ht="40.5" hidden="false" customHeight="true" outlineLevel="0" collapsed="false">
      <c r="A15" s="34" t="s">
        <v>102</v>
      </c>
      <c r="B15" s="35" t="s">
        <v>115</v>
      </c>
      <c r="C15" s="34" t="s">
        <v>116</v>
      </c>
      <c r="D15" s="34" t="s">
        <v>117</v>
      </c>
      <c r="E15" s="36" t="n">
        <v>20</v>
      </c>
      <c r="F15" s="36" t="n">
        <v>2</v>
      </c>
      <c r="G15" s="36" t="n">
        <f aca="false">IFERROR(INDEX(Config!$E$5:$E$9,MATCH($F15,Config!$D$5:$D$9,0)),0)</f>
        <v>7</v>
      </c>
      <c r="H15" s="35" t="s">
        <v>16</v>
      </c>
      <c r="I15" s="35" t="s">
        <v>107</v>
      </c>
      <c r="J15" s="34" t="s">
        <v>118</v>
      </c>
      <c r="K15" s="35" t="str">
        <f aca="false">IF($I15="","No",IF(IFERROR(INDEX(Setup!$H$3:$H$62,MATCH($I15,Setup!$B$3:$B$62,0)),IFERROR(INDEX('App 1'!$H$3:$H$31,MATCH($I15,'App 1'!$B$3:$B$31,0)),IFERROR(INDEX('App 2'!$H$3:$H$11,MATCH($I15,'App 2'!$B$3:$B$11,0)),IFERROR(INDEX(Documentation!$H$3:$H$19,MATCH($I15,Documentation!$B$3:$B$19,0)),"Done"))))="Done","No","Yes"))</f>
        <v>No</v>
      </c>
      <c r="L15" s="36" t="str">
        <f aca="false">IF(AND($H15&lt;&gt;"Done",$K15="No"),ROW(),"")</f>
        <v/>
      </c>
    </row>
    <row r="16" customFormat="false" ht="56.25" hidden="false" customHeight="true" outlineLevel="0" collapsed="false">
      <c r="A16" s="34" t="s">
        <v>102</v>
      </c>
      <c r="B16" s="35" t="s">
        <v>119</v>
      </c>
      <c r="C16" s="34" t="s">
        <v>120</v>
      </c>
      <c r="D16" s="34" t="s">
        <v>121</v>
      </c>
      <c r="E16" s="36" t="n">
        <v>20</v>
      </c>
      <c r="F16" s="36" t="n">
        <v>2</v>
      </c>
      <c r="G16" s="36" t="n">
        <f aca="false">IFERROR(INDEX(Config!$E$5:$E$9,MATCH($F16,Config!$D$5:$D$9,0)),0)</f>
        <v>7</v>
      </c>
      <c r="H16" s="35" t="s">
        <v>16</v>
      </c>
      <c r="I16" s="35" t="s">
        <v>107</v>
      </c>
      <c r="J16" s="34" t="s">
        <v>122</v>
      </c>
      <c r="K16" s="35" t="str">
        <f aca="false">IF($I16="","No",IF(IFERROR(INDEX(Setup!$H$3:$H$62,MATCH($I16,Setup!$B$3:$B$62,0)),IFERROR(INDEX('App 1'!$H$3:$H$31,MATCH($I16,'App 1'!$B$3:$B$31,0)),IFERROR(INDEX('App 2'!$H$3:$H$11,MATCH($I16,'App 2'!$B$3:$B$11,0)),IFERROR(INDEX(Documentation!$H$3:$H$19,MATCH($I16,Documentation!$B$3:$B$19,0)),"Done"))))="Done","No","Yes"))</f>
        <v>No</v>
      </c>
      <c r="L16" s="36" t="str">
        <f aca="false">IF(AND($H16&lt;&gt;"Done",$K16="No"),ROW(),"")</f>
        <v/>
      </c>
    </row>
    <row r="17" customFormat="false" ht="40.5" hidden="false" customHeight="true" outlineLevel="0" collapsed="false">
      <c r="A17" s="34" t="s">
        <v>102</v>
      </c>
      <c r="B17" s="35" t="s">
        <v>123</v>
      </c>
      <c r="C17" s="34" t="s">
        <v>124</v>
      </c>
      <c r="D17" s="34" t="s">
        <v>125</v>
      </c>
      <c r="E17" s="36" t="n">
        <v>45</v>
      </c>
      <c r="F17" s="36" t="n">
        <v>2</v>
      </c>
      <c r="G17" s="36" t="n">
        <f aca="false">IFERROR(INDEX(Config!$E$5:$E$9,MATCH($F17,Config!$D$5:$D$9,0)),0)</f>
        <v>7</v>
      </c>
      <c r="H17" s="35" t="s">
        <v>16</v>
      </c>
      <c r="I17" s="35" t="s">
        <v>103</v>
      </c>
      <c r="J17" s="34" t="s">
        <v>126</v>
      </c>
      <c r="K17" s="35" t="str">
        <f aca="false">IF($I17="","No",IF(IFERROR(INDEX(Setup!$H$3:$H$62,MATCH($I17,Setup!$B$3:$B$62,0)),IFERROR(INDEX('App 1'!$H$3:$H$31,MATCH($I17,'App 1'!$B$3:$B$31,0)),IFERROR(INDEX('App 2'!$H$3:$H$11,MATCH($I17,'App 2'!$B$3:$B$11,0)),IFERROR(INDEX(Documentation!$H$3:$H$19,MATCH($I17,Documentation!$B$3:$B$19,0)),"Done"))))="Done","No","Yes"))</f>
        <v>No</v>
      </c>
      <c r="L17" s="36" t="str">
        <f aca="false">IF(AND($H17&lt;&gt;"Done",$K17="No"),ROW(),"")</f>
        <v/>
      </c>
    </row>
    <row r="18" customFormat="false" ht="56.25" hidden="false" customHeight="true" outlineLevel="0" collapsed="false">
      <c r="A18" s="34" t="s">
        <v>102</v>
      </c>
      <c r="B18" s="35" t="s">
        <v>127</v>
      </c>
      <c r="C18" s="34" t="s">
        <v>128</v>
      </c>
      <c r="D18" s="34" t="s">
        <v>129</v>
      </c>
      <c r="E18" s="36" t="n">
        <v>60</v>
      </c>
      <c r="F18" s="36" t="n">
        <v>3</v>
      </c>
      <c r="G18" s="36" t="n">
        <f aca="false">IFERROR(INDEX(Config!$E$5:$E$9,MATCH($F18,Config!$D$5:$D$9,0)),0)</f>
        <v>11</v>
      </c>
      <c r="H18" s="35" t="s">
        <v>16</v>
      </c>
      <c r="I18" s="35" t="s">
        <v>103</v>
      </c>
      <c r="J18" s="34" t="s">
        <v>130</v>
      </c>
      <c r="K18" s="35" t="str">
        <f aca="false">IF($I18="","No",IF(IFERROR(INDEX(Setup!$H$3:$H$62,MATCH($I18,Setup!$B$3:$B$62,0)),IFERROR(INDEX('App 1'!$H$3:$H$31,MATCH($I18,'App 1'!$B$3:$B$31,0)),IFERROR(INDEX('App 2'!$H$3:$H$11,MATCH($I18,'App 2'!$B$3:$B$11,0)),IFERROR(INDEX(Documentation!$H$3:$H$19,MATCH($I18,Documentation!$B$3:$B$19,0)),"Done"))))="Done","No","Yes"))</f>
        <v>No</v>
      </c>
      <c r="L18" s="36" t="str">
        <f aca="false">IF(AND($H18&lt;&gt;"Done",$K18="No"),ROW(),"")</f>
        <v/>
      </c>
    </row>
    <row r="19" customFormat="false" ht="56.25" hidden="false" customHeight="true" outlineLevel="0" collapsed="false">
      <c r="A19" s="34" t="s">
        <v>102</v>
      </c>
      <c r="B19" s="35" t="s">
        <v>131</v>
      </c>
      <c r="C19" s="34" t="s">
        <v>132</v>
      </c>
      <c r="D19" s="34" t="s">
        <v>133</v>
      </c>
      <c r="E19" s="36" t="n">
        <v>50</v>
      </c>
      <c r="F19" s="36" t="n">
        <v>3</v>
      </c>
      <c r="G19" s="36" t="n">
        <f aca="false">IFERROR(INDEX(Config!$E$5:$E$9,MATCH($F19,Config!$D$5:$D$9,0)),0)</f>
        <v>11</v>
      </c>
      <c r="H19" s="35" t="s">
        <v>16</v>
      </c>
      <c r="I19" s="35" t="s">
        <v>103</v>
      </c>
      <c r="J19" s="34" t="s">
        <v>134</v>
      </c>
      <c r="K19" s="35" t="str">
        <f aca="false">IF($I19="","No",IF(IFERROR(INDEX(Setup!$H$3:$H$62,MATCH($I19,Setup!$B$3:$B$62,0)),IFERROR(INDEX('App 1'!$H$3:$H$31,MATCH($I19,'App 1'!$B$3:$B$31,0)),IFERROR(INDEX('App 2'!$H$3:$H$11,MATCH($I19,'App 2'!$B$3:$B$11,0)),IFERROR(INDEX(Documentation!$H$3:$H$19,MATCH($I19,Documentation!$B$3:$B$19,0)),"Done"))))="Done","No","Yes"))</f>
        <v>No</v>
      </c>
      <c r="L19" s="36" t="str">
        <f aca="false">IF(AND($H19&lt;&gt;"Done",$K19="No"),ROW(),"")</f>
        <v/>
      </c>
    </row>
    <row r="20" customFormat="false" ht="56.25" hidden="false" customHeight="true" outlineLevel="0" collapsed="false">
      <c r="A20" s="34" t="s">
        <v>102</v>
      </c>
      <c r="B20" s="35" t="s">
        <v>135</v>
      </c>
      <c r="C20" s="34" t="s">
        <v>136</v>
      </c>
      <c r="D20" s="34" t="s">
        <v>137</v>
      </c>
      <c r="E20" s="36" t="n">
        <v>40</v>
      </c>
      <c r="F20" s="36" t="n">
        <v>3</v>
      </c>
      <c r="G20" s="36" t="n">
        <f aca="false">IFERROR(INDEX(Config!$E$5:$E$9,MATCH($F20,Config!$D$5:$D$9,0)),0)</f>
        <v>11</v>
      </c>
      <c r="H20" s="35" t="s">
        <v>16</v>
      </c>
      <c r="I20" s="35" t="s">
        <v>103</v>
      </c>
      <c r="J20" s="34" t="s">
        <v>138</v>
      </c>
      <c r="K20" s="35" t="str">
        <f aca="false">IF($I20="","No",IF(IFERROR(INDEX(Setup!$H$3:$H$62,MATCH($I20,Setup!$B$3:$B$62,0)),IFERROR(INDEX('App 1'!$H$3:$H$31,MATCH($I20,'App 1'!$B$3:$B$31,0)),IFERROR(INDEX('App 2'!$H$3:$H$11,MATCH($I20,'App 2'!$B$3:$B$11,0)),IFERROR(INDEX(Documentation!$H$3:$H$19,MATCH($I20,Documentation!$B$3:$B$19,0)),"Done"))))="Done","No","Yes"))</f>
        <v>No</v>
      </c>
      <c r="L20" s="36" t="str">
        <f aca="false">IF(AND($H20&lt;&gt;"Done",$K20="No"),ROW(),"")</f>
        <v/>
      </c>
    </row>
    <row r="21" customFormat="false" ht="40.5" hidden="false" customHeight="true" outlineLevel="0" collapsed="false">
      <c r="A21" s="34" t="s">
        <v>102</v>
      </c>
      <c r="B21" s="35" t="s">
        <v>139</v>
      </c>
      <c r="C21" s="34" t="s">
        <v>140</v>
      </c>
      <c r="D21" s="34" t="s">
        <v>141</v>
      </c>
      <c r="E21" s="36" t="n">
        <v>50</v>
      </c>
      <c r="F21" s="36" t="n">
        <v>3</v>
      </c>
      <c r="G21" s="36" t="n">
        <f aca="false">IFERROR(INDEX(Config!$E$5:$E$9,MATCH($F21,Config!$D$5:$D$9,0)),0)</f>
        <v>11</v>
      </c>
      <c r="H21" s="35" t="s">
        <v>16</v>
      </c>
      <c r="I21" s="35" t="s">
        <v>103</v>
      </c>
      <c r="J21" s="34" t="s">
        <v>142</v>
      </c>
      <c r="K21" s="35" t="str">
        <f aca="false">IF($I21="","No",IF(IFERROR(INDEX(Setup!$H$3:$H$62,MATCH($I21,Setup!$B$3:$B$62,0)),IFERROR(INDEX('App 1'!$H$3:$H$31,MATCH($I21,'App 1'!$B$3:$B$31,0)),IFERROR(INDEX('App 2'!$H$3:$H$11,MATCH($I21,'App 2'!$B$3:$B$11,0)),IFERROR(INDEX(Documentation!$H$3:$H$19,MATCH($I21,Documentation!$B$3:$B$19,0)),"Done"))))="Done","No","Yes"))</f>
        <v>No</v>
      </c>
      <c r="L21" s="36" t="str">
        <f aca="false">IF(AND($H21&lt;&gt;"Done",$K21="No"),ROW(),"")</f>
        <v/>
      </c>
    </row>
    <row r="22" customFormat="false" ht="72" hidden="false" customHeight="true" outlineLevel="0" collapsed="false">
      <c r="A22" s="34" t="s">
        <v>102</v>
      </c>
      <c r="B22" s="35" t="s">
        <v>143</v>
      </c>
      <c r="C22" s="34" t="s">
        <v>144</v>
      </c>
      <c r="D22" s="34" t="s">
        <v>145</v>
      </c>
      <c r="E22" s="36" t="n">
        <v>60</v>
      </c>
      <c r="F22" s="36" t="n">
        <v>4</v>
      </c>
      <c r="G22" s="36" t="n">
        <f aca="false">IFERROR(INDEX(Config!$E$5:$E$9,MATCH($F22,Config!$D$5:$D$9,0)),0)</f>
        <v>17</v>
      </c>
      <c r="H22" s="35" t="s">
        <v>16</v>
      </c>
      <c r="I22" s="35" t="s">
        <v>139</v>
      </c>
      <c r="J22" s="34" t="s">
        <v>146</v>
      </c>
      <c r="K22" s="35" t="str">
        <f aca="false">IF($I22="","No",IF(IFERROR(INDEX(Setup!$H$3:$H$62,MATCH($I22,Setup!$B$3:$B$62,0)),IFERROR(INDEX('App 1'!$H$3:$H$31,MATCH($I22,'App 1'!$B$3:$B$31,0)),IFERROR(INDEX('App 2'!$H$3:$H$11,MATCH($I22,'App 2'!$B$3:$B$11,0)),IFERROR(INDEX(Documentation!$H$3:$H$19,MATCH($I22,Documentation!$B$3:$B$19,0)),"Done"))))="Done","No","Yes"))</f>
        <v>No</v>
      </c>
      <c r="L22" s="36" t="str">
        <f aca="false">IF(AND($H22&lt;&gt;"Done",$K22="No"),ROW(),"")</f>
        <v/>
      </c>
    </row>
    <row r="23" customFormat="false" ht="40.5" hidden="false" customHeight="true" outlineLevel="0" collapsed="false">
      <c r="A23" s="34" t="s">
        <v>102</v>
      </c>
      <c r="B23" s="35" t="s">
        <v>147</v>
      </c>
      <c r="C23" s="34" t="s">
        <v>148</v>
      </c>
      <c r="D23" s="34" t="s">
        <v>149</v>
      </c>
      <c r="E23" s="36" t="n">
        <v>10</v>
      </c>
      <c r="F23" s="36" t="n">
        <v>1</v>
      </c>
      <c r="G23" s="36" t="n">
        <f aca="false">IFERROR(INDEX(Config!$E$5:$E$9,MATCH($F23,Config!$D$5:$D$9,0)),0)</f>
        <v>4</v>
      </c>
      <c r="H23" s="35" t="s">
        <v>16</v>
      </c>
      <c r="I23" s="35" t="s">
        <v>143</v>
      </c>
      <c r="J23" s="34" t="s">
        <v>150</v>
      </c>
      <c r="K23" s="35" t="str">
        <f aca="false">IF($I23="","No",IF(IFERROR(INDEX(Setup!$H$3:$H$62,MATCH($I23,Setup!$B$3:$B$62,0)),IFERROR(INDEX('App 1'!$H$3:$H$31,MATCH($I23,'App 1'!$B$3:$B$31,0)),IFERROR(INDEX('App 2'!$H$3:$H$11,MATCH($I23,'App 2'!$B$3:$B$11,0)),IFERROR(INDEX(Documentation!$H$3:$H$19,MATCH($I23,Documentation!$B$3:$B$19,0)),"Done"))))="Done","No","Yes"))</f>
        <v>No</v>
      </c>
      <c r="L23" s="36" t="str">
        <f aca="false">IF(AND($H23&lt;&gt;"Done",$K23="No"),ROW(),"")</f>
        <v/>
      </c>
    </row>
    <row r="24" customFormat="false" ht="40.5" hidden="false" customHeight="true" outlineLevel="0" collapsed="false">
      <c r="A24" s="34" t="s">
        <v>151</v>
      </c>
      <c r="B24" s="35" t="s">
        <v>152</v>
      </c>
      <c r="C24" s="34" t="s">
        <v>153</v>
      </c>
      <c r="D24" s="34" t="s">
        <v>154</v>
      </c>
      <c r="E24" s="36" t="n">
        <v>15</v>
      </c>
      <c r="F24" s="36" t="n">
        <v>1</v>
      </c>
      <c r="G24" s="36" t="n">
        <f aca="false">IFERROR(INDEX(Config!$E$5:$E$9,MATCH($F24,Config!$D$5:$D$9,0)),0)</f>
        <v>4</v>
      </c>
      <c r="H24" s="35" t="s">
        <v>16</v>
      </c>
      <c r="I24" s="35"/>
      <c r="J24" s="34" t="s">
        <v>155</v>
      </c>
      <c r="K24" s="35" t="str">
        <f aca="false">IF($I24="","No",IF(IFERROR(INDEX(Setup!$H$3:$H$62,MATCH($I24,Setup!$B$3:$B$62,0)),IFERROR(INDEX('App 1'!$H$3:$H$31,MATCH($I24,'App 1'!$B$3:$B$31,0)),IFERROR(INDEX('App 2'!$H$3:$H$11,MATCH($I24,'App 2'!$B$3:$B$11,0)),IFERROR(INDEX(Documentation!$H$3:$H$19,MATCH($I24,Documentation!$B$3:$B$19,0)),"Done"))))="Done","No","Yes"))</f>
        <v>No</v>
      </c>
      <c r="L24" s="36" t="str">
        <f aca="false">IF(AND($H24&lt;&gt;"Done",$K24="No"),ROW(),"")</f>
        <v/>
      </c>
    </row>
    <row r="25" customFormat="false" ht="40.5" hidden="false" customHeight="true" outlineLevel="0" collapsed="false">
      <c r="A25" s="34" t="s">
        <v>151</v>
      </c>
      <c r="B25" s="35" t="s">
        <v>156</v>
      </c>
      <c r="C25" s="34" t="s">
        <v>157</v>
      </c>
      <c r="D25" s="34" t="s">
        <v>158</v>
      </c>
      <c r="E25" s="36" t="n">
        <v>30</v>
      </c>
      <c r="F25" s="36" t="n">
        <v>2</v>
      </c>
      <c r="G25" s="36" t="n">
        <f aca="false">IFERROR(INDEX(Config!$E$5:$E$9,MATCH($F25,Config!$D$5:$D$9,0)),0)</f>
        <v>7</v>
      </c>
      <c r="H25" s="35" t="s">
        <v>16</v>
      </c>
      <c r="I25" s="35" t="s">
        <v>152</v>
      </c>
      <c r="J25" s="34" t="s">
        <v>159</v>
      </c>
      <c r="K25" s="35" t="str">
        <f aca="false">IF($I25="","No",IF(IFERROR(INDEX(Setup!$H$3:$H$62,MATCH($I25,Setup!$B$3:$B$62,0)),IFERROR(INDEX('App 1'!$H$3:$H$31,MATCH($I25,'App 1'!$B$3:$B$31,0)),IFERROR(INDEX('App 2'!$H$3:$H$11,MATCH($I25,'App 2'!$B$3:$B$11,0)),IFERROR(INDEX(Documentation!$H$3:$H$19,MATCH($I25,Documentation!$B$3:$B$19,0)),"Done"))))="Done","No","Yes"))</f>
        <v>No</v>
      </c>
      <c r="L25" s="36" t="str">
        <f aca="false">IF(AND($H25&lt;&gt;"Done",$K25="No"),ROW(),"")</f>
        <v/>
      </c>
    </row>
    <row r="26" customFormat="false" ht="40.5" hidden="false" customHeight="true" outlineLevel="0" collapsed="false">
      <c r="A26" s="34" t="s">
        <v>151</v>
      </c>
      <c r="B26" s="35" t="s">
        <v>160</v>
      </c>
      <c r="C26" s="34" t="s">
        <v>161</v>
      </c>
      <c r="D26" s="34" t="s">
        <v>162</v>
      </c>
      <c r="E26" s="36" t="n">
        <v>15</v>
      </c>
      <c r="F26" s="36" t="n">
        <v>1</v>
      </c>
      <c r="G26" s="36" t="n">
        <f aca="false">IFERROR(INDEX(Config!$E$5:$E$9,MATCH($F26,Config!$D$5:$D$9,0)),0)</f>
        <v>4</v>
      </c>
      <c r="H26" s="35" t="s">
        <v>16</v>
      </c>
      <c r="I26" s="35" t="s">
        <v>152</v>
      </c>
      <c r="J26" s="34" t="s">
        <v>163</v>
      </c>
      <c r="K26" s="35" t="str">
        <f aca="false">IF($I26="","No",IF(IFERROR(INDEX(Setup!$H$3:$H$62,MATCH($I26,Setup!$B$3:$B$62,0)),IFERROR(INDEX('App 1'!$H$3:$H$31,MATCH($I26,'App 1'!$B$3:$B$31,0)),IFERROR(INDEX('App 2'!$H$3:$H$11,MATCH($I26,'App 2'!$B$3:$B$11,0)),IFERROR(INDEX(Documentation!$H$3:$H$19,MATCH($I26,Documentation!$B$3:$B$19,0)),"Done"))))="Done","No","Yes"))</f>
        <v>No</v>
      </c>
      <c r="L26" s="36" t="str">
        <f aca="false">IF(AND($H26&lt;&gt;"Done",$K26="No"),ROW(),"")</f>
        <v/>
      </c>
    </row>
    <row r="27" customFormat="false" ht="40.5" hidden="false" customHeight="true" outlineLevel="0" collapsed="false">
      <c r="A27" s="34" t="s">
        <v>151</v>
      </c>
      <c r="B27" s="35" t="s">
        <v>164</v>
      </c>
      <c r="C27" s="34" t="s">
        <v>165</v>
      </c>
      <c r="D27" s="34" t="s">
        <v>166</v>
      </c>
      <c r="E27" s="36" t="n">
        <v>20</v>
      </c>
      <c r="F27" s="36" t="n">
        <v>2</v>
      </c>
      <c r="G27" s="36" t="n">
        <f aca="false">IFERROR(INDEX(Config!$E$5:$E$9,MATCH($F27,Config!$D$5:$D$9,0)),0)</f>
        <v>7</v>
      </c>
      <c r="H27" s="35" t="s">
        <v>16</v>
      </c>
      <c r="I27" s="35" t="s">
        <v>152</v>
      </c>
      <c r="J27" s="34"/>
      <c r="K27" s="35" t="str">
        <f aca="false">IF($I27="","No",IF(IFERROR(INDEX(Setup!$H$3:$H$62,MATCH($I27,Setup!$B$3:$B$62,0)),IFERROR(INDEX('App 1'!$H$3:$H$31,MATCH($I27,'App 1'!$B$3:$B$31,0)),IFERROR(INDEX('App 2'!$H$3:$H$11,MATCH($I27,'App 2'!$B$3:$B$11,0)),IFERROR(INDEX(Documentation!$H$3:$H$19,MATCH($I27,Documentation!$B$3:$B$19,0)),"Done"))))="Done","No","Yes"))</f>
        <v>No</v>
      </c>
      <c r="L27" s="36" t="str">
        <f aca="false">IF(AND($H27&lt;&gt;"Done",$K27="No"),ROW(),"")</f>
        <v/>
      </c>
    </row>
    <row r="28" customFormat="false" ht="40.5" hidden="false" customHeight="true" outlineLevel="0" collapsed="false">
      <c r="A28" s="34" t="s">
        <v>151</v>
      </c>
      <c r="B28" s="35" t="s">
        <v>167</v>
      </c>
      <c r="C28" s="34" t="s">
        <v>168</v>
      </c>
      <c r="D28" s="34" t="s">
        <v>169</v>
      </c>
      <c r="E28" s="36" t="n">
        <v>20</v>
      </c>
      <c r="F28" s="36" t="n">
        <v>2</v>
      </c>
      <c r="G28" s="36" t="n">
        <f aca="false">IFERROR(INDEX(Config!$E$5:$E$9,MATCH($F28,Config!$D$5:$D$9,0)),0)</f>
        <v>7</v>
      </c>
      <c r="H28" s="35" t="s">
        <v>16</v>
      </c>
      <c r="I28" s="35" t="s">
        <v>164</v>
      </c>
      <c r="J28" s="34" t="s">
        <v>170</v>
      </c>
      <c r="K28" s="35" t="str">
        <f aca="false">IF($I28="","No",IF(IFERROR(INDEX(Setup!$H$3:$H$62,MATCH($I28,Setup!$B$3:$B$62,0)),IFERROR(INDEX('App 1'!$H$3:$H$31,MATCH($I28,'App 1'!$B$3:$B$31,0)),IFERROR(INDEX('App 2'!$H$3:$H$11,MATCH($I28,'App 2'!$B$3:$B$11,0)),IFERROR(INDEX(Documentation!$H$3:$H$19,MATCH($I28,Documentation!$B$3:$B$19,0)),"Done"))))="Done","No","Yes"))</f>
        <v>No</v>
      </c>
      <c r="L28" s="36" t="str">
        <f aca="false">IF(AND($H28&lt;&gt;"Done",$K28="No"),ROW(),"")</f>
        <v/>
      </c>
    </row>
    <row r="29" customFormat="false" ht="40.5" hidden="false" customHeight="true" outlineLevel="0" collapsed="false">
      <c r="A29" s="34" t="s">
        <v>151</v>
      </c>
      <c r="B29" s="35" t="s">
        <v>171</v>
      </c>
      <c r="C29" s="34" t="s">
        <v>172</v>
      </c>
      <c r="D29" s="34" t="s">
        <v>173</v>
      </c>
      <c r="E29" s="36" t="n">
        <v>30</v>
      </c>
      <c r="F29" s="36" t="n">
        <v>2</v>
      </c>
      <c r="G29" s="36" t="n">
        <f aca="false">IFERROR(INDEX(Config!$E$5:$E$9,MATCH($F29,Config!$D$5:$D$9,0)),0)</f>
        <v>7</v>
      </c>
      <c r="H29" s="35" t="s">
        <v>16</v>
      </c>
      <c r="I29" s="35" t="s">
        <v>152</v>
      </c>
      <c r="J29" s="34" t="s">
        <v>174</v>
      </c>
      <c r="K29" s="35" t="str">
        <f aca="false">IF($I29="","No",IF(IFERROR(INDEX(Setup!$H$3:$H$62,MATCH($I29,Setup!$B$3:$B$62,0)),IFERROR(INDEX('App 1'!$H$3:$H$31,MATCH($I29,'App 1'!$B$3:$B$31,0)),IFERROR(INDEX('App 2'!$H$3:$H$11,MATCH($I29,'App 2'!$B$3:$B$11,0)),IFERROR(INDEX(Documentation!$H$3:$H$19,MATCH($I29,Documentation!$B$3:$B$19,0)),"Done"))))="Done","No","Yes"))</f>
        <v>No</v>
      </c>
      <c r="L29" s="36" t="str">
        <f aca="false">IF(AND($H29&lt;&gt;"Done",$K29="No"),ROW(),"")</f>
        <v/>
      </c>
    </row>
    <row r="30" customFormat="false" ht="40.5" hidden="false" customHeight="true" outlineLevel="0" collapsed="false">
      <c r="A30" s="34" t="s">
        <v>151</v>
      </c>
      <c r="B30" s="35" t="s">
        <v>175</v>
      </c>
      <c r="C30" s="34" t="s">
        <v>176</v>
      </c>
      <c r="D30" s="34" t="s">
        <v>177</v>
      </c>
      <c r="E30" s="36" t="n">
        <v>60</v>
      </c>
      <c r="F30" s="36" t="n">
        <v>3</v>
      </c>
      <c r="G30" s="36" t="n">
        <f aca="false">IFERROR(INDEX(Config!$E$5:$E$9,MATCH($F30,Config!$D$5:$D$9,0)),0)</f>
        <v>11</v>
      </c>
      <c r="H30" s="35" t="s">
        <v>16</v>
      </c>
      <c r="I30" s="35" t="s">
        <v>152</v>
      </c>
      <c r="J30" s="34" t="s">
        <v>178</v>
      </c>
      <c r="K30" s="35" t="str">
        <f aca="false">IF($I30="","No",IF(IFERROR(INDEX(Setup!$H$3:$H$62,MATCH($I30,Setup!$B$3:$B$62,0)),IFERROR(INDEX('App 1'!$H$3:$H$31,MATCH($I30,'App 1'!$B$3:$B$31,0)),IFERROR(INDEX('App 2'!$H$3:$H$11,MATCH($I30,'App 2'!$B$3:$B$11,0)),IFERROR(INDEX(Documentation!$H$3:$H$19,MATCH($I30,Documentation!$B$3:$B$19,0)),"Done"))))="Done","No","Yes"))</f>
        <v>No</v>
      </c>
      <c r="L30" s="36" t="str">
        <f aca="false">IF(AND($H30&lt;&gt;"Done",$K30="No"),ROW(),"")</f>
        <v/>
      </c>
    </row>
    <row r="31" customFormat="false" ht="40.5" hidden="false" customHeight="true" outlineLevel="0" collapsed="false">
      <c r="A31" s="34" t="s">
        <v>151</v>
      </c>
      <c r="B31" s="35" t="s">
        <v>179</v>
      </c>
      <c r="C31" s="34" t="s">
        <v>180</v>
      </c>
      <c r="D31" s="34" t="s">
        <v>181</v>
      </c>
      <c r="E31" s="36" t="n">
        <v>30</v>
      </c>
      <c r="F31" s="36" t="n">
        <v>3</v>
      </c>
      <c r="G31" s="36" t="n">
        <f aca="false">IFERROR(INDEX(Config!$E$5:$E$9,MATCH($F31,Config!$D$5:$D$9,0)),0)</f>
        <v>11</v>
      </c>
      <c r="H31" s="35" t="s">
        <v>16</v>
      </c>
      <c r="I31" s="35" t="s">
        <v>175</v>
      </c>
      <c r="J31" s="34" t="s">
        <v>182</v>
      </c>
      <c r="K31" s="35" t="str">
        <f aca="false">IF($I31="","No",IF(IFERROR(INDEX(Setup!$H$3:$H$62,MATCH($I31,Setup!$B$3:$B$62,0)),IFERROR(INDEX('App 1'!$H$3:$H$31,MATCH($I31,'App 1'!$B$3:$B$31,0)),IFERROR(INDEX('App 2'!$H$3:$H$11,MATCH($I31,'App 2'!$B$3:$B$11,0)),IFERROR(INDEX(Documentation!$H$3:$H$19,MATCH($I31,Documentation!$B$3:$B$19,0)),"Done"))))="Done","No","Yes"))</f>
        <v>No</v>
      </c>
      <c r="L31" s="36" t="str">
        <f aca="false">IF(AND($H31&lt;&gt;"Done",$K31="No"),ROW(),"")</f>
        <v/>
      </c>
    </row>
    <row r="32" customFormat="false" ht="25.5" hidden="false" customHeight="true" outlineLevel="0" collapsed="false">
      <c r="A32" s="34" t="s">
        <v>151</v>
      </c>
      <c r="B32" s="35" t="s">
        <v>183</v>
      </c>
      <c r="C32" s="34" t="s">
        <v>184</v>
      </c>
      <c r="D32" s="34" t="s">
        <v>185</v>
      </c>
      <c r="E32" s="36" t="n">
        <v>30</v>
      </c>
      <c r="F32" s="36" t="n">
        <v>2</v>
      </c>
      <c r="G32" s="36" t="n">
        <f aca="false">IFERROR(INDEX(Config!$E$5:$E$9,MATCH($F32,Config!$D$5:$D$9,0)),0)</f>
        <v>7</v>
      </c>
      <c r="H32" s="35" t="s">
        <v>16</v>
      </c>
      <c r="I32" s="35" t="s">
        <v>175</v>
      </c>
      <c r="J32" s="34" t="s">
        <v>186</v>
      </c>
      <c r="K32" s="35" t="str">
        <f aca="false">IF($I32="","No",IF(IFERROR(INDEX(Setup!$H$3:$H$62,MATCH($I32,Setup!$B$3:$B$62,0)),IFERROR(INDEX('App 1'!$H$3:$H$31,MATCH($I32,'App 1'!$B$3:$B$31,0)),IFERROR(INDEX('App 2'!$H$3:$H$11,MATCH($I32,'App 2'!$B$3:$B$11,0)),IFERROR(INDEX(Documentation!$H$3:$H$19,MATCH($I32,Documentation!$B$3:$B$19,0)),"Done"))))="Done","No","Yes"))</f>
        <v>No</v>
      </c>
      <c r="L32" s="36" t="str">
        <f aca="false">IF(AND($H32&lt;&gt;"Done",$K32="No"),ROW(),"")</f>
        <v/>
      </c>
    </row>
    <row r="33" customFormat="false" ht="40.5" hidden="false" customHeight="true" outlineLevel="0" collapsed="false">
      <c r="A33" s="34" t="s">
        <v>151</v>
      </c>
      <c r="B33" s="35" t="s">
        <v>187</v>
      </c>
      <c r="C33" s="34" t="s">
        <v>188</v>
      </c>
      <c r="D33" s="34" t="s">
        <v>189</v>
      </c>
      <c r="E33" s="36" t="n">
        <v>30</v>
      </c>
      <c r="F33" s="36" t="n">
        <v>3</v>
      </c>
      <c r="G33" s="36" t="n">
        <f aca="false">IFERROR(INDEX(Config!$E$5:$E$9,MATCH($F33,Config!$D$5:$D$9,0)),0)</f>
        <v>11</v>
      </c>
      <c r="H33" s="35" t="s">
        <v>16</v>
      </c>
      <c r="I33" s="35" t="s">
        <v>183</v>
      </c>
      <c r="J33" s="34" t="s">
        <v>190</v>
      </c>
      <c r="K33" s="35" t="str">
        <f aca="false">IF($I33="","No",IF(IFERROR(INDEX(Setup!$H$3:$H$62,MATCH($I33,Setup!$B$3:$B$62,0)),IFERROR(INDEX('App 1'!$H$3:$H$31,MATCH($I33,'App 1'!$B$3:$B$31,0)),IFERROR(INDEX('App 2'!$H$3:$H$11,MATCH($I33,'App 2'!$B$3:$B$11,0)),IFERROR(INDEX(Documentation!$H$3:$H$19,MATCH($I33,Documentation!$B$3:$B$19,0)),"Done"))))="Done","No","Yes"))</f>
        <v>No</v>
      </c>
      <c r="L33" s="36" t="str">
        <f aca="false">IF(AND($H33&lt;&gt;"Done",$K33="No"),ROW(),"")</f>
        <v/>
      </c>
    </row>
    <row r="34" customFormat="false" ht="40.5" hidden="false" customHeight="true" outlineLevel="0" collapsed="false">
      <c r="A34" s="34" t="s">
        <v>151</v>
      </c>
      <c r="B34" s="35" t="s">
        <v>191</v>
      </c>
      <c r="C34" s="34" t="s">
        <v>192</v>
      </c>
      <c r="D34" s="34" t="s">
        <v>193</v>
      </c>
      <c r="E34" s="36" t="n">
        <v>30</v>
      </c>
      <c r="F34" s="36" t="n">
        <v>2</v>
      </c>
      <c r="G34" s="36" t="n">
        <f aca="false">IFERROR(INDEX(Config!$E$5:$E$9,MATCH($F34,Config!$D$5:$D$9,0)),0)</f>
        <v>7</v>
      </c>
      <c r="H34" s="35" t="s">
        <v>16</v>
      </c>
      <c r="I34" s="35"/>
      <c r="J34" s="34" t="s">
        <v>194</v>
      </c>
      <c r="K34" s="35" t="str">
        <f aca="false">IF($I34="","No",IF(IFERROR(INDEX(Setup!$H$3:$H$62,MATCH($I34,Setup!$B$3:$B$62,0)),IFERROR(INDEX('App 1'!$H$3:$H$31,MATCH($I34,'App 1'!$B$3:$B$31,0)),IFERROR(INDEX('App 2'!$H$3:$H$11,MATCH($I34,'App 2'!$B$3:$B$11,0)),IFERROR(INDEX(Documentation!$H$3:$H$19,MATCH($I34,Documentation!$B$3:$B$19,0)),"Done"))))="Done","No","Yes"))</f>
        <v>No</v>
      </c>
      <c r="L34" s="36" t="str">
        <f aca="false">IF(AND($H34&lt;&gt;"Done",$K34="No"),ROW(),"")</f>
        <v/>
      </c>
    </row>
    <row r="35" customFormat="false" ht="40.5" hidden="false" customHeight="true" outlineLevel="0" collapsed="false">
      <c r="A35" s="34" t="s">
        <v>151</v>
      </c>
      <c r="B35" s="35" t="s">
        <v>195</v>
      </c>
      <c r="C35" s="34" t="s">
        <v>196</v>
      </c>
      <c r="D35" s="34" t="s">
        <v>197</v>
      </c>
      <c r="E35" s="36" t="n">
        <v>30</v>
      </c>
      <c r="F35" s="36" t="n">
        <v>3</v>
      </c>
      <c r="G35" s="36" t="n">
        <f aca="false">IFERROR(INDEX(Config!$E$5:$E$9,MATCH($F35,Config!$D$5:$D$9,0)),0)</f>
        <v>11</v>
      </c>
      <c r="H35" s="35" t="s">
        <v>16</v>
      </c>
      <c r="I35" s="35" t="s">
        <v>191</v>
      </c>
      <c r="J35" s="34" t="s">
        <v>198</v>
      </c>
      <c r="K35" s="35" t="str">
        <f aca="false">IF($I35="","No",IF(IFERROR(INDEX(Setup!$H$3:$H$62,MATCH($I35,Setup!$B$3:$B$62,0)),IFERROR(INDEX('App 1'!$H$3:$H$31,MATCH($I35,'App 1'!$B$3:$B$31,0)),IFERROR(INDEX('App 2'!$H$3:$H$11,MATCH($I35,'App 2'!$B$3:$B$11,0)),IFERROR(INDEX(Documentation!$H$3:$H$19,MATCH($I35,Documentation!$B$3:$B$19,0)),"Done"))))="Done","No","Yes"))</f>
        <v>No</v>
      </c>
      <c r="L35" s="36" t="str">
        <f aca="false">IF(AND($H35&lt;&gt;"Done",$K35="No"),ROW(),"")</f>
        <v/>
      </c>
    </row>
    <row r="36" customFormat="false" ht="40.5" hidden="false" customHeight="true" outlineLevel="0" collapsed="false">
      <c r="A36" s="34" t="s">
        <v>151</v>
      </c>
      <c r="B36" s="35" t="s">
        <v>199</v>
      </c>
      <c r="C36" s="34" t="s">
        <v>200</v>
      </c>
      <c r="D36" s="34" t="s">
        <v>201</v>
      </c>
      <c r="E36" s="36" t="n">
        <v>30</v>
      </c>
      <c r="F36" s="36" t="n">
        <v>2</v>
      </c>
      <c r="G36" s="36" t="n">
        <f aca="false">IFERROR(INDEX(Config!$E$5:$E$9,MATCH($F36,Config!$D$5:$D$9,0)),0)</f>
        <v>7</v>
      </c>
      <c r="H36" s="35" t="s">
        <v>16</v>
      </c>
      <c r="I36" s="35"/>
      <c r="J36" s="34" t="s">
        <v>202</v>
      </c>
      <c r="K36" s="35" t="str">
        <f aca="false">IF($I36="","No",IF(IFERROR(INDEX(Setup!$H$3:$H$62,MATCH($I36,Setup!$B$3:$B$62,0)),IFERROR(INDEX('App 1'!$H$3:$H$31,MATCH($I36,'App 1'!$B$3:$B$31,0)),IFERROR(INDEX('App 2'!$H$3:$H$11,MATCH($I36,'App 2'!$B$3:$B$11,0)),IFERROR(INDEX(Documentation!$H$3:$H$19,MATCH($I36,Documentation!$B$3:$B$19,0)),"Done"))))="Done","No","Yes"))</f>
        <v>No</v>
      </c>
      <c r="L36" s="36" t="str">
        <f aca="false">IF(AND($H36&lt;&gt;"Done",$K36="No"),ROW(),"")</f>
        <v/>
      </c>
    </row>
    <row r="37" customFormat="false" ht="40.5" hidden="false" customHeight="true" outlineLevel="0" collapsed="false">
      <c r="A37" s="34" t="s">
        <v>151</v>
      </c>
      <c r="B37" s="35" t="s">
        <v>203</v>
      </c>
      <c r="C37" s="34" t="s">
        <v>204</v>
      </c>
      <c r="D37" s="34" t="s">
        <v>205</v>
      </c>
      <c r="E37" s="36" t="n">
        <v>45</v>
      </c>
      <c r="F37" s="36" t="n">
        <v>3</v>
      </c>
      <c r="G37" s="36" t="n">
        <f aca="false">IFERROR(INDEX(Config!$E$5:$E$9,MATCH($F37,Config!$D$5:$D$9,0)),0)</f>
        <v>11</v>
      </c>
      <c r="H37" s="35" t="s">
        <v>16</v>
      </c>
      <c r="I37" s="35" t="s">
        <v>199</v>
      </c>
      <c r="J37" s="34" t="s">
        <v>206</v>
      </c>
      <c r="K37" s="35" t="str">
        <f aca="false">IF($I37="","No",IF(IFERROR(INDEX(Setup!$H$3:$H$62,MATCH($I37,Setup!$B$3:$B$62,0)),IFERROR(INDEX('App 1'!$H$3:$H$31,MATCH($I37,'App 1'!$B$3:$B$31,0)),IFERROR(INDEX('App 2'!$H$3:$H$11,MATCH($I37,'App 2'!$B$3:$B$11,0)),IFERROR(INDEX(Documentation!$H$3:$H$19,MATCH($I37,Documentation!$B$3:$B$19,0)),"Done"))))="Done","No","Yes"))</f>
        <v>No</v>
      </c>
      <c r="L37" s="36" t="str">
        <f aca="false">IF(AND($H37&lt;&gt;"Done",$K37="No"),ROW(),"")</f>
        <v/>
      </c>
    </row>
    <row r="38" customFormat="false" ht="40.5" hidden="false" customHeight="true" outlineLevel="0" collapsed="false">
      <c r="A38" s="34" t="s">
        <v>151</v>
      </c>
      <c r="B38" s="35" t="s">
        <v>207</v>
      </c>
      <c r="C38" s="34" t="s">
        <v>208</v>
      </c>
      <c r="D38" s="34" t="s">
        <v>209</v>
      </c>
      <c r="E38" s="36" t="n">
        <v>30</v>
      </c>
      <c r="F38" s="36" t="n">
        <v>2</v>
      </c>
      <c r="G38" s="36" t="n">
        <f aca="false">IFERROR(INDEX(Config!$E$5:$E$9,MATCH($F38,Config!$D$5:$D$9,0)),0)</f>
        <v>7</v>
      </c>
      <c r="H38" s="35" t="s">
        <v>16</v>
      </c>
      <c r="I38" s="35"/>
      <c r="J38" s="34" t="s">
        <v>210</v>
      </c>
      <c r="K38" s="35" t="str">
        <f aca="false">IF($I38="","No",IF(IFERROR(INDEX(Setup!$H$3:$H$62,MATCH($I38,Setup!$B$3:$B$62,0)),IFERROR(INDEX('App 1'!$H$3:$H$31,MATCH($I38,'App 1'!$B$3:$B$31,0)),IFERROR(INDEX('App 2'!$H$3:$H$11,MATCH($I38,'App 2'!$B$3:$B$11,0)),IFERROR(INDEX(Documentation!$H$3:$H$19,MATCH($I38,Documentation!$B$3:$B$19,0)),"Done"))))="Done","No","Yes"))</f>
        <v>No</v>
      </c>
      <c r="L38" s="36" t="str">
        <f aca="false">IF(AND($H38&lt;&gt;"Done",$K38="No"),ROW(),"")</f>
        <v/>
      </c>
    </row>
    <row r="39" customFormat="false" ht="40.5" hidden="false" customHeight="true" outlineLevel="0" collapsed="false">
      <c r="A39" s="34" t="s">
        <v>151</v>
      </c>
      <c r="B39" s="35" t="s">
        <v>211</v>
      </c>
      <c r="C39" s="34" t="s">
        <v>212</v>
      </c>
      <c r="D39" s="34" t="s">
        <v>213</v>
      </c>
      <c r="E39" s="36" t="n">
        <v>20</v>
      </c>
      <c r="F39" s="36" t="n">
        <v>2</v>
      </c>
      <c r="G39" s="36" t="n">
        <f aca="false">IFERROR(INDEX(Config!$E$5:$E$9,MATCH($F39,Config!$D$5:$D$9,0)),0)</f>
        <v>7</v>
      </c>
      <c r="H39" s="35" t="s">
        <v>16</v>
      </c>
      <c r="I39" s="35" t="s">
        <v>207</v>
      </c>
      <c r="J39" s="34" t="s">
        <v>214</v>
      </c>
      <c r="K39" s="35" t="str">
        <f aca="false">IF($I39="","No",IF(IFERROR(INDEX(Setup!$H$3:$H$62,MATCH($I39,Setup!$B$3:$B$62,0)),IFERROR(INDEX('App 1'!$H$3:$H$31,MATCH($I39,'App 1'!$B$3:$B$31,0)),IFERROR(INDEX('App 2'!$H$3:$H$11,MATCH($I39,'App 2'!$B$3:$B$11,0)),IFERROR(INDEX(Documentation!$H$3:$H$19,MATCH($I39,Documentation!$B$3:$B$19,0)),"Done"))))="Done","No","Yes"))</f>
        <v>No</v>
      </c>
      <c r="L39" s="36" t="str">
        <f aca="false">IF(AND($H39&lt;&gt;"Done",$K39="No"),ROW(),"")</f>
        <v/>
      </c>
    </row>
    <row r="40" customFormat="false" ht="40.5" hidden="false" customHeight="true" outlineLevel="0" collapsed="false">
      <c r="A40" s="34" t="s">
        <v>215</v>
      </c>
      <c r="B40" s="35" t="s">
        <v>216</v>
      </c>
      <c r="C40" s="34" t="s">
        <v>217</v>
      </c>
      <c r="D40" s="34" t="s">
        <v>218</v>
      </c>
      <c r="E40" s="36" t="n">
        <v>10</v>
      </c>
      <c r="F40" s="36" t="n">
        <v>1</v>
      </c>
      <c r="G40" s="36" t="n">
        <f aca="false">IFERROR(INDEX(Config!$E$5:$E$9,MATCH($F40,Config!$D$5:$D$9,0)),0)</f>
        <v>4</v>
      </c>
      <c r="H40" s="35" t="s">
        <v>16</v>
      </c>
      <c r="I40" s="35" t="s">
        <v>156</v>
      </c>
      <c r="J40" s="34"/>
      <c r="K40" s="35" t="str">
        <f aca="false">IF($I40="","No",IF(IFERROR(INDEX(Setup!$H$3:$H$62,MATCH($I40,Setup!$B$3:$B$62,0)),IFERROR(INDEX('App 1'!$H$3:$H$31,MATCH($I40,'App 1'!$B$3:$B$31,0)),IFERROR(INDEX('App 2'!$H$3:$H$11,MATCH($I40,'App 2'!$B$3:$B$11,0)),IFERROR(INDEX(Documentation!$H$3:$H$19,MATCH($I40,Documentation!$B$3:$B$19,0)),"Done"))))="Done","No","Yes"))</f>
        <v>No</v>
      </c>
      <c r="L40" s="36" t="str">
        <f aca="false">IF(AND($H40&lt;&gt;"Done",$K40="No"),ROW(),"")</f>
        <v/>
      </c>
    </row>
    <row r="41" customFormat="false" ht="40.5" hidden="false" customHeight="true" outlineLevel="0" collapsed="false">
      <c r="A41" s="34" t="s">
        <v>215</v>
      </c>
      <c r="B41" s="35" t="s">
        <v>219</v>
      </c>
      <c r="C41" s="34" t="s">
        <v>220</v>
      </c>
      <c r="D41" s="34" t="s">
        <v>221</v>
      </c>
      <c r="E41" s="36" t="n">
        <v>30</v>
      </c>
      <c r="F41" s="36" t="n">
        <v>2</v>
      </c>
      <c r="G41" s="36" t="n">
        <f aca="false">IFERROR(INDEX(Config!$E$5:$E$9,MATCH($F41,Config!$D$5:$D$9,0)),0)</f>
        <v>7</v>
      </c>
      <c r="H41" s="35" t="s">
        <v>16</v>
      </c>
      <c r="I41" s="35" t="s">
        <v>216</v>
      </c>
      <c r="J41" s="34" t="s">
        <v>222</v>
      </c>
      <c r="K41" s="35" t="str">
        <f aca="false">IF($I41="","No",IF(IFERROR(INDEX(Setup!$H$3:$H$62,MATCH($I41,Setup!$B$3:$B$62,0)),IFERROR(INDEX('App 1'!$H$3:$H$31,MATCH($I41,'App 1'!$B$3:$B$31,0)),IFERROR(INDEX('App 2'!$H$3:$H$11,MATCH($I41,'App 2'!$B$3:$B$11,0)),IFERROR(INDEX(Documentation!$H$3:$H$19,MATCH($I41,Documentation!$B$3:$B$19,0)),"Done"))))="Done","No","Yes"))</f>
        <v>No</v>
      </c>
      <c r="L41" s="36" t="str">
        <f aca="false">IF(AND($H41&lt;&gt;"Done",$K41="No"),ROW(),"")</f>
        <v/>
      </c>
    </row>
    <row r="42" customFormat="false" ht="40.5" hidden="false" customHeight="true" outlineLevel="0" collapsed="false">
      <c r="A42" s="34" t="s">
        <v>215</v>
      </c>
      <c r="B42" s="35" t="s">
        <v>223</v>
      </c>
      <c r="C42" s="34" t="s">
        <v>224</v>
      </c>
      <c r="D42" s="34" t="s">
        <v>225</v>
      </c>
      <c r="E42" s="36" t="n">
        <v>30</v>
      </c>
      <c r="F42" s="36" t="n">
        <v>2</v>
      </c>
      <c r="G42" s="36" t="n">
        <f aca="false">IFERROR(INDEX(Config!$E$5:$E$9,MATCH($F42,Config!$D$5:$D$9,0)),0)</f>
        <v>7</v>
      </c>
      <c r="H42" s="35" t="s">
        <v>16</v>
      </c>
      <c r="I42" s="35" t="s">
        <v>216</v>
      </c>
      <c r="J42" s="34" t="s">
        <v>226</v>
      </c>
      <c r="K42" s="35" t="str">
        <f aca="false">IF($I42="","No",IF(IFERROR(INDEX(Setup!$H$3:$H$62,MATCH($I42,Setup!$B$3:$B$62,0)),IFERROR(INDEX('App 1'!$H$3:$H$31,MATCH($I42,'App 1'!$B$3:$B$31,0)),IFERROR(INDEX('App 2'!$H$3:$H$11,MATCH($I42,'App 2'!$B$3:$B$11,0)),IFERROR(INDEX(Documentation!$H$3:$H$19,MATCH($I42,Documentation!$B$3:$B$19,0)),"Done"))))="Done","No","Yes"))</f>
        <v>No</v>
      </c>
      <c r="L42" s="36" t="str">
        <f aca="false">IF(AND($H42&lt;&gt;"Done",$K42="No"),ROW(),"")</f>
        <v/>
      </c>
    </row>
    <row r="43" customFormat="false" ht="40.5" hidden="false" customHeight="true" outlineLevel="0" collapsed="false">
      <c r="A43" s="34" t="s">
        <v>215</v>
      </c>
      <c r="B43" s="35" t="s">
        <v>227</v>
      </c>
      <c r="C43" s="34" t="s">
        <v>228</v>
      </c>
      <c r="D43" s="34" t="s">
        <v>229</v>
      </c>
      <c r="E43" s="36" t="n">
        <v>40</v>
      </c>
      <c r="F43" s="36" t="n">
        <v>3</v>
      </c>
      <c r="G43" s="36" t="n">
        <f aca="false">IFERROR(INDEX(Config!$E$5:$E$9,MATCH($F43,Config!$D$5:$D$9,0)),0)</f>
        <v>11</v>
      </c>
      <c r="H43" s="35" t="s">
        <v>16</v>
      </c>
      <c r="I43" s="35" t="s">
        <v>216</v>
      </c>
      <c r="J43" s="34" t="s">
        <v>230</v>
      </c>
      <c r="K43" s="35" t="str">
        <f aca="false">IF($I43="","No",IF(IFERROR(INDEX(Setup!$H$3:$H$62,MATCH($I43,Setup!$B$3:$B$62,0)),IFERROR(INDEX('App 1'!$H$3:$H$31,MATCH($I43,'App 1'!$B$3:$B$31,0)),IFERROR(INDEX('App 2'!$H$3:$H$11,MATCH($I43,'App 2'!$B$3:$B$11,0)),IFERROR(INDEX(Documentation!$H$3:$H$19,MATCH($I43,Documentation!$B$3:$B$19,0)),"Done"))))="Done","No","Yes"))</f>
        <v>No</v>
      </c>
      <c r="L43" s="36" t="str">
        <f aca="false">IF(AND($H43&lt;&gt;"Done",$K43="No"),ROW(),"")</f>
        <v/>
      </c>
    </row>
    <row r="44" customFormat="false" ht="56.25" hidden="false" customHeight="true" outlineLevel="0" collapsed="false">
      <c r="A44" s="34" t="s">
        <v>215</v>
      </c>
      <c r="B44" s="35" t="s">
        <v>231</v>
      </c>
      <c r="C44" s="34" t="s">
        <v>232</v>
      </c>
      <c r="D44" s="34" t="s">
        <v>233</v>
      </c>
      <c r="E44" s="36" t="n">
        <v>45</v>
      </c>
      <c r="F44" s="36" t="n">
        <v>3</v>
      </c>
      <c r="G44" s="36" t="n">
        <f aca="false">IFERROR(INDEX(Config!$E$5:$E$9,MATCH($F44,Config!$D$5:$D$9,0)),0)</f>
        <v>11</v>
      </c>
      <c r="H44" s="35" t="s">
        <v>16</v>
      </c>
      <c r="I44" s="35" t="s">
        <v>156</v>
      </c>
      <c r="J44" s="34" t="s">
        <v>234</v>
      </c>
      <c r="K44" s="35" t="str">
        <f aca="false">IF($I44="","No",IF(IFERROR(INDEX(Setup!$H$3:$H$62,MATCH($I44,Setup!$B$3:$B$62,0)),IFERROR(INDEX('App 1'!$H$3:$H$31,MATCH($I44,'App 1'!$B$3:$B$31,0)),IFERROR(INDEX('App 2'!$H$3:$H$11,MATCH($I44,'App 2'!$B$3:$B$11,0)),IFERROR(INDEX(Documentation!$H$3:$H$19,MATCH($I44,Documentation!$B$3:$B$19,0)),"Done"))))="Done","No","Yes"))</f>
        <v>No</v>
      </c>
      <c r="L44" s="36" t="str">
        <f aca="false">IF(AND($H44&lt;&gt;"Done",$K44="No"),ROW(),"")</f>
        <v/>
      </c>
    </row>
    <row r="45" customFormat="false" ht="40.5" hidden="false" customHeight="true" outlineLevel="0" collapsed="false">
      <c r="A45" s="34" t="s">
        <v>215</v>
      </c>
      <c r="B45" s="35" t="s">
        <v>235</v>
      </c>
      <c r="C45" s="34" t="s">
        <v>236</v>
      </c>
      <c r="D45" s="34" t="s">
        <v>237</v>
      </c>
      <c r="E45" s="36" t="n">
        <v>40</v>
      </c>
      <c r="F45" s="36" t="n">
        <v>3</v>
      </c>
      <c r="G45" s="36" t="n">
        <f aca="false">IFERROR(INDEX(Config!$E$5:$E$9,MATCH($F45,Config!$D$5:$D$9,0)),0)</f>
        <v>11</v>
      </c>
      <c r="H45" s="35" t="s">
        <v>16</v>
      </c>
      <c r="I45" s="35" t="s">
        <v>227</v>
      </c>
      <c r="J45" s="34" t="s">
        <v>238</v>
      </c>
      <c r="K45" s="35" t="str">
        <f aca="false">IF($I45="","No",IF(IFERROR(INDEX(Setup!$H$3:$H$62,MATCH($I45,Setup!$B$3:$B$62,0)),IFERROR(INDEX('App 1'!$H$3:$H$31,MATCH($I45,'App 1'!$B$3:$B$31,0)),IFERROR(INDEX('App 2'!$H$3:$H$11,MATCH($I45,'App 2'!$B$3:$B$11,0)),IFERROR(INDEX(Documentation!$H$3:$H$19,MATCH($I45,Documentation!$B$3:$B$19,0)),"Done"))))="Done","No","Yes"))</f>
        <v>No</v>
      </c>
      <c r="L45" s="36" t="str">
        <f aca="false">IF(AND($H45&lt;&gt;"Done",$K45="No"),ROW(),"")</f>
        <v/>
      </c>
    </row>
    <row r="46" customFormat="false" ht="56.25" hidden="false" customHeight="true" outlineLevel="0" collapsed="false">
      <c r="A46" s="34" t="s">
        <v>215</v>
      </c>
      <c r="B46" s="35" t="s">
        <v>239</v>
      </c>
      <c r="C46" s="34" t="s">
        <v>240</v>
      </c>
      <c r="D46" s="34" t="s">
        <v>241</v>
      </c>
      <c r="E46" s="36" t="n">
        <v>45</v>
      </c>
      <c r="F46" s="36" t="n">
        <v>3</v>
      </c>
      <c r="G46" s="36" t="n">
        <f aca="false">IFERROR(INDEX(Config!$E$5:$E$9,MATCH($F46,Config!$D$5:$D$9,0)),0)</f>
        <v>11</v>
      </c>
      <c r="H46" s="35" t="s">
        <v>16</v>
      </c>
      <c r="I46" s="35" t="s">
        <v>235</v>
      </c>
      <c r="J46" s="34" t="s">
        <v>242</v>
      </c>
      <c r="K46" s="35" t="str">
        <f aca="false">IF($I46="","No",IF(IFERROR(INDEX(Setup!$H$3:$H$62,MATCH($I46,Setup!$B$3:$B$62,0)),IFERROR(INDEX('App 1'!$H$3:$H$31,MATCH($I46,'App 1'!$B$3:$B$31,0)),IFERROR(INDEX('App 2'!$H$3:$H$11,MATCH($I46,'App 2'!$B$3:$B$11,0)),IFERROR(INDEX(Documentation!$H$3:$H$19,MATCH($I46,Documentation!$B$3:$B$19,0)),"Done"))))="Done","No","Yes"))</f>
        <v>No</v>
      </c>
      <c r="L46" s="36" t="str">
        <f aca="false">IF(AND($H46&lt;&gt;"Done",$K46="No"),ROW(),"")</f>
        <v/>
      </c>
    </row>
    <row r="47" customFormat="false" ht="40.5" hidden="false" customHeight="true" outlineLevel="0" collapsed="false">
      <c r="A47" s="34" t="s">
        <v>243</v>
      </c>
      <c r="B47" s="35" t="s">
        <v>244</v>
      </c>
      <c r="C47" s="34" t="s">
        <v>245</v>
      </c>
      <c r="D47" s="34" t="s">
        <v>246</v>
      </c>
      <c r="E47" s="36" t="n">
        <v>10</v>
      </c>
      <c r="F47" s="36" t="n">
        <v>1</v>
      </c>
      <c r="G47" s="36" t="n">
        <f aca="false">IFERROR(INDEX(Config!$E$5:$E$9,MATCH($F47,Config!$D$5:$D$9,0)),0)</f>
        <v>4</v>
      </c>
      <c r="H47" s="35" t="s">
        <v>247</v>
      </c>
      <c r="I47" s="35"/>
      <c r="J47" s="34" t="s">
        <v>248</v>
      </c>
      <c r="K47" s="35" t="str">
        <f aca="false">IF($I47="","No",IF(IFERROR(INDEX(Setup!$H$3:$H$62,MATCH($I47,Setup!$B$3:$B$62,0)),IFERROR(INDEX('App 1'!$H$3:$H$31,MATCH($I47,'App 1'!$B$3:$B$31,0)),IFERROR(INDEX('App 2'!$H$3:$H$11,MATCH($I47,'App 2'!$B$3:$B$11,0)),IFERROR(INDEX(Documentation!$H$3:$H$19,MATCH($I47,Documentation!$B$3:$B$19,0)),"Done"))))="Done","No","Yes"))</f>
        <v>No</v>
      </c>
      <c r="L47" s="36" t="n">
        <f aca="false">IF(AND($H47&lt;&gt;"Done",$K47="No"),ROW(),"")</f>
        <v>47</v>
      </c>
    </row>
    <row r="48" customFormat="false" ht="40.5" hidden="false" customHeight="true" outlineLevel="0" collapsed="false">
      <c r="A48" s="34" t="s">
        <v>243</v>
      </c>
      <c r="B48" s="35" t="s">
        <v>249</v>
      </c>
      <c r="C48" s="34" t="s">
        <v>250</v>
      </c>
      <c r="D48" s="34" t="s">
        <v>251</v>
      </c>
      <c r="E48" s="36" t="n">
        <v>40</v>
      </c>
      <c r="F48" s="36" t="n">
        <v>3</v>
      </c>
      <c r="G48" s="36" t="n">
        <f aca="false">IFERROR(INDEX(Config!$E$5:$E$9,MATCH($F48,Config!$D$5:$D$9,0)),0)</f>
        <v>11</v>
      </c>
      <c r="H48" s="35" t="s">
        <v>247</v>
      </c>
      <c r="I48" s="35" t="s">
        <v>239</v>
      </c>
      <c r="J48" s="34" t="s">
        <v>252</v>
      </c>
      <c r="K48" s="35" t="str">
        <f aca="false">IF($I48="","No",IF(IFERROR(INDEX(Setup!$H$3:$H$62,MATCH($I48,Setup!$B$3:$B$62,0)),IFERROR(INDEX('App 1'!$H$3:$H$31,MATCH($I48,'App 1'!$B$3:$B$31,0)),IFERROR(INDEX('App 2'!$H$3:$H$11,MATCH($I48,'App 2'!$B$3:$B$11,0)),IFERROR(INDEX(Documentation!$H$3:$H$19,MATCH($I48,Documentation!$B$3:$B$19,0)),"Done"))))="Done","No","Yes"))</f>
        <v>No</v>
      </c>
      <c r="L48" s="36" t="n">
        <f aca="false">IF(AND($H48&lt;&gt;"Done",$K48="No"),ROW(),"")</f>
        <v>48</v>
      </c>
    </row>
    <row r="49" customFormat="false" ht="40.5" hidden="false" customHeight="true" outlineLevel="0" collapsed="false">
      <c r="A49" s="34" t="s">
        <v>243</v>
      </c>
      <c r="B49" s="35" t="s">
        <v>253</v>
      </c>
      <c r="C49" s="34" t="s">
        <v>254</v>
      </c>
      <c r="D49" s="34" t="s">
        <v>255</v>
      </c>
      <c r="E49" s="36" t="n">
        <v>20</v>
      </c>
      <c r="F49" s="36" t="n">
        <v>2</v>
      </c>
      <c r="G49" s="36" t="n">
        <f aca="false">IFERROR(INDEX(Config!$E$5:$E$9,MATCH($F49,Config!$D$5:$D$9,0)),0)</f>
        <v>7</v>
      </c>
      <c r="H49" s="35" t="s">
        <v>247</v>
      </c>
      <c r="I49" s="35" t="s">
        <v>249</v>
      </c>
      <c r="J49" s="34" t="s">
        <v>256</v>
      </c>
      <c r="K49" s="35" t="str">
        <f aca="false">IF($I49="","No",IF(IFERROR(INDEX(Setup!$H$3:$H$62,MATCH($I49,Setup!$B$3:$B$62,0)),IFERROR(INDEX('App 1'!$H$3:$H$31,MATCH($I49,'App 1'!$B$3:$B$31,0)),IFERROR(INDEX('App 2'!$H$3:$H$11,MATCH($I49,'App 2'!$B$3:$B$11,0)),IFERROR(INDEX(Documentation!$H$3:$H$19,MATCH($I49,Documentation!$B$3:$B$19,0)),"Done"))))="Done","No","Yes"))</f>
        <v>Yes</v>
      </c>
      <c r="L49" s="36" t="str">
        <f aca="false">IF(AND($H49&lt;&gt;"Done",$K49="No"),ROW(),"")</f>
        <v/>
      </c>
    </row>
    <row r="50" customFormat="false" ht="56.25" hidden="false" customHeight="true" outlineLevel="0" collapsed="false">
      <c r="A50" s="34" t="s">
        <v>243</v>
      </c>
      <c r="B50" s="35" t="s">
        <v>257</v>
      </c>
      <c r="C50" s="34" t="s">
        <v>258</v>
      </c>
      <c r="D50" s="34" t="s">
        <v>259</v>
      </c>
      <c r="E50" s="36" t="n">
        <v>25</v>
      </c>
      <c r="F50" s="36" t="n">
        <v>2</v>
      </c>
      <c r="G50" s="36" t="n">
        <f aca="false">IFERROR(INDEX(Config!$E$5:$E$9,MATCH($F50,Config!$D$5:$D$9,0)),0)</f>
        <v>7</v>
      </c>
      <c r="H50" s="35" t="s">
        <v>247</v>
      </c>
      <c r="I50" s="35" t="s">
        <v>249</v>
      </c>
      <c r="J50" s="34" t="s">
        <v>260</v>
      </c>
      <c r="K50" s="35" t="str">
        <f aca="false">IF($I50="","No",IF(IFERROR(INDEX(Setup!$H$3:$H$62,MATCH($I50,Setup!$B$3:$B$62,0)),IFERROR(INDEX('App 1'!$H$3:$H$31,MATCH($I50,'App 1'!$B$3:$B$31,0)),IFERROR(INDEX('App 2'!$H$3:$H$11,MATCH($I50,'App 2'!$B$3:$B$11,0)),IFERROR(INDEX(Documentation!$H$3:$H$19,MATCH($I50,Documentation!$B$3:$B$19,0)),"Done"))))="Done","No","Yes"))</f>
        <v>Yes</v>
      </c>
      <c r="L50" s="36" t="str">
        <f aca="false">IF(AND($H50&lt;&gt;"Done",$K50="No"),ROW(),"")</f>
        <v/>
      </c>
    </row>
    <row r="51" customFormat="false" ht="40.5" hidden="false" customHeight="true" outlineLevel="0" collapsed="false">
      <c r="A51" s="34" t="s">
        <v>243</v>
      </c>
      <c r="B51" s="35" t="s">
        <v>261</v>
      </c>
      <c r="C51" s="34" t="s">
        <v>262</v>
      </c>
      <c r="D51" s="34" t="s">
        <v>263</v>
      </c>
      <c r="E51" s="36" t="n">
        <v>20</v>
      </c>
      <c r="F51" s="36" t="n">
        <v>2</v>
      </c>
      <c r="G51" s="36" t="n">
        <f aca="false">IFERROR(INDEX(Config!$E$5:$E$9,MATCH($F51,Config!$D$5:$D$9,0)),0)</f>
        <v>7</v>
      </c>
      <c r="H51" s="35" t="s">
        <v>247</v>
      </c>
      <c r="I51" s="35" t="s">
        <v>249</v>
      </c>
      <c r="J51" s="34" t="s">
        <v>264</v>
      </c>
      <c r="K51" s="35" t="str">
        <f aca="false">IF($I51="","No",IF(IFERROR(INDEX(Setup!$H$3:$H$62,MATCH($I51,Setup!$B$3:$B$62,0)),IFERROR(INDEX('App 1'!$H$3:$H$31,MATCH($I51,'App 1'!$B$3:$B$31,0)),IFERROR(INDEX('App 2'!$H$3:$H$11,MATCH($I51,'App 2'!$B$3:$B$11,0)),IFERROR(INDEX(Documentation!$H$3:$H$19,MATCH($I51,Documentation!$B$3:$B$19,0)),"Done"))))="Done","No","Yes"))</f>
        <v>Yes</v>
      </c>
      <c r="L51" s="36" t="str">
        <f aca="false">IF(AND($H51&lt;&gt;"Done",$K51="No"),ROW(),"")</f>
        <v/>
      </c>
    </row>
    <row r="52" customFormat="false" ht="40.5" hidden="false" customHeight="true" outlineLevel="0" collapsed="false">
      <c r="A52" s="34" t="s">
        <v>243</v>
      </c>
      <c r="B52" s="35" t="s">
        <v>265</v>
      </c>
      <c r="C52" s="34" t="s">
        <v>266</v>
      </c>
      <c r="D52" s="34" t="s">
        <v>267</v>
      </c>
      <c r="E52" s="36" t="n">
        <v>25</v>
      </c>
      <c r="F52" s="36" t="n">
        <v>2</v>
      </c>
      <c r="G52" s="36" t="n">
        <f aca="false">IFERROR(INDEX(Config!$E$5:$E$9,MATCH($F52,Config!$D$5:$D$9,0)),0)</f>
        <v>7</v>
      </c>
      <c r="H52" s="35" t="s">
        <v>247</v>
      </c>
      <c r="I52" s="35" t="s">
        <v>257</v>
      </c>
      <c r="J52" s="34" t="s">
        <v>268</v>
      </c>
      <c r="K52" s="35" t="str">
        <f aca="false">IF($I52="","No",IF(IFERROR(INDEX(Setup!$H$3:$H$62,MATCH($I52,Setup!$B$3:$B$62,0)),IFERROR(INDEX('App 1'!$H$3:$H$31,MATCH($I52,'App 1'!$B$3:$B$31,0)),IFERROR(INDEX('App 2'!$H$3:$H$11,MATCH($I52,'App 2'!$B$3:$B$11,0)),IFERROR(INDEX(Documentation!$H$3:$H$19,MATCH($I52,Documentation!$B$3:$B$19,0)),"Done"))))="Done","No","Yes"))</f>
        <v>Yes</v>
      </c>
      <c r="L52" s="36" t="str">
        <f aca="false">IF(AND($H52&lt;&gt;"Done",$K52="No"),ROW(),"")</f>
        <v/>
      </c>
    </row>
    <row r="53" customFormat="false" ht="40.5" hidden="false" customHeight="true" outlineLevel="0" collapsed="false">
      <c r="A53" s="34" t="s">
        <v>269</v>
      </c>
      <c r="B53" s="35" t="s">
        <v>270</v>
      </c>
      <c r="C53" s="34" t="s">
        <v>271</v>
      </c>
      <c r="D53" s="34" t="s">
        <v>272</v>
      </c>
      <c r="E53" s="36" t="n">
        <v>30</v>
      </c>
      <c r="F53" s="36" t="n">
        <v>2</v>
      </c>
      <c r="G53" s="36" t="n">
        <f aca="false">IFERROR(INDEX(Config!$E$5:$E$9,MATCH($F53,Config!$D$5:$D$9,0)),0)</f>
        <v>7</v>
      </c>
      <c r="H53" s="35" t="s">
        <v>247</v>
      </c>
      <c r="I53" s="35" t="s">
        <v>171</v>
      </c>
      <c r="J53" s="34" t="s">
        <v>273</v>
      </c>
      <c r="K53" s="35" t="str">
        <f aca="false">IF($I53="","No",IF(IFERROR(INDEX(Setup!$H$3:$H$62,MATCH($I53,Setup!$B$3:$B$62,0)),IFERROR(INDEX('App 1'!$H$3:$H$31,MATCH($I53,'App 1'!$B$3:$B$31,0)),IFERROR(INDEX('App 2'!$H$3:$H$11,MATCH($I53,'App 2'!$B$3:$B$11,0)),IFERROR(INDEX(Documentation!$H$3:$H$19,MATCH($I53,Documentation!$B$3:$B$19,0)),"Done"))))="Done","No","Yes"))</f>
        <v>No</v>
      </c>
      <c r="L53" s="36" t="n">
        <f aca="false">IF(AND($H53&lt;&gt;"Done",$K53="No"),ROW(),"")</f>
        <v>53</v>
      </c>
    </row>
    <row r="54" customFormat="false" ht="40.5" hidden="false" customHeight="true" outlineLevel="0" collapsed="false">
      <c r="A54" s="34" t="s">
        <v>269</v>
      </c>
      <c r="B54" s="35" t="s">
        <v>274</v>
      </c>
      <c r="C54" s="34" t="s">
        <v>275</v>
      </c>
      <c r="D54" s="34" t="s">
        <v>276</v>
      </c>
      <c r="E54" s="36" t="n">
        <v>30</v>
      </c>
      <c r="F54" s="36" t="n">
        <v>2</v>
      </c>
      <c r="G54" s="36" t="n">
        <f aca="false">IFERROR(INDEX(Config!$E$5:$E$9,MATCH($F54,Config!$D$5:$D$9,0)),0)</f>
        <v>7</v>
      </c>
      <c r="H54" s="35" t="s">
        <v>247</v>
      </c>
      <c r="I54" s="35" t="s">
        <v>270</v>
      </c>
      <c r="J54" s="34" t="s">
        <v>277</v>
      </c>
      <c r="K54" s="35" t="str">
        <f aca="false">IF($I54="","No",IF(IFERROR(INDEX(Setup!$H$3:$H$62,MATCH($I54,Setup!$B$3:$B$62,0)),IFERROR(INDEX('App 1'!$H$3:$H$31,MATCH($I54,'App 1'!$B$3:$B$31,0)),IFERROR(INDEX('App 2'!$H$3:$H$11,MATCH($I54,'App 2'!$B$3:$B$11,0)),IFERROR(INDEX(Documentation!$H$3:$H$19,MATCH($I54,Documentation!$B$3:$B$19,0)),"Done"))))="Done","No","Yes"))</f>
        <v>Yes</v>
      </c>
      <c r="L54" s="36" t="str">
        <f aca="false">IF(AND($H54&lt;&gt;"Done",$K54="No"),ROW(),"")</f>
        <v/>
      </c>
    </row>
    <row r="55" customFormat="false" ht="40.5" hidden="false" customHeight="true" outlineLevel="0" collapsed="false">
      <c r="A55" s="34" t="s">
        <v>269</v>
      </c>
      <c r="B55" s="35" t="s">
        <v>278</v>
      </c>
      <c r="C55" s="34" t="s">
        <v>279</v>
      </c>
      <c r="D55" s="34" t="s">
        <v>280</v>
      </c>
      <c r="E55" s="36" t="n">
        <v>10</v>
      </c>
      <c r="F55" s="36" t="n">
        <v>1</v>
      </c>
      <c r="G55" s="36" t="n">
        <f aca="false">IFERROR(INDEX(Config!$E$5:$E$9,MATCH($F55,Config!$D$5:$D$9,0)),0)</f>
        <v>4</v>
      </c>
      <c r="H55" s="35" t="s">
        <v>247</v>
      </c>
      <c r="I55" s="35" t="s">
        <v>274</v>
      </c>
      <c r="J55" s="34" t="s">
        <v>281</v>
      </c>
      <c r="K55" s="35" t="str">
        <f aca="false">IF($I55="","No",IF(IFERROR(INDEX(Setup!$H$3:$H$62,MATCH($I55,Setup!$B$3:$B$62,0)),IFERROR(INDEX('App 1'!$H$3:$H$31,MATCH($I55,'App 1'!$B$3:$B$31,0)),IFERROR(INDEX('App 2'!$H$3:$H$11,MATCH($I55,'App 2'!$B$3:$B$11,0)),IFERROR(INDEX(Documentation!$H$3:$H$19,MATCH($I55,Documentation!$B$3:$B$19,0)),"Done"))))="Done","No","Yes"))</f>
        <v>Yes</v>
      </c>
      <c r="L55" s="36" t="str">
        <f aca="false">IF(AND($H55&lt;&gt;"Done",$K55="No"),ROW(),"")</f>
        <v/>
      </c>
    </row>
    <row r="56" customFormat="false" ht="40.5" hidden="false" customHeight="true" outlineLevel="0" collapsed="false">
      <c r="A56" s="34" t="s">
        <v>269</v>
      </c>
      <c r="B56" s="35" t="s">
        <v>282</v>
      </c>
      <c r="C56" s="34" t="s">
        <v>283</v>
      </c>
      <c r="D56" s="34" t="s">
        <v>284</v>
      </c>
      <c r="E56" s="36" t="n">
        <v>30</v>
      </c>
      <c r="F56" s="36" t="n">
        <v>2</v>
      </c>
      <c r="G56" s="36" t="n">
        <f aca="false">IFERROR(INDEX(Config!$E$5:$E$9,MATCH($F56,Config!$D$5:$D$9,0)),0)</f>
        <v>7</v>
      </c>
      <c r="H56" s="35" t="s">
        <v>247</v>
      </c>
      <c r="I56" s="35" t="s">
        <v>278</v>
      </c>
      <c r="J56" s="34" t="s">
        <v>285</v>
      </c>
      <c r="K56" s="35" t="str">
        <f aca="false">IF($I56="","No",IF(IFERROR(INDEX(Setup!$H$3:$H$62,MATCH($I56,Setup!$B$3:$B$62,0)),IFERROR(INDEX('App 1'!$H$3:$H$31,MATCH($I56,'App 1'!$B$3:$B$31,0)),IFERROR(INDEX('App 2'!$H$3:$H$11,MATCH($I56,'App 2'!$B$3:$B$11,0)),IFERROR(INDEX(Documentation!$H$3:$H$19,MATCH($I56,Documentation!$B$3:$B$19,0)),"Done"))))="Done","No","Yes"))</f>
        <v>Yes</v>
      </c>
      <c r="L56" s="36" t="str">
        <f aca="false">IF(AND($H56&lt;&gt;"Done",$K56="No"),ROW(),"")</f>
        <v/>
      </c>
    </row>
    <row r="57" customFormat="false" ht="40.5" hidden="false" customHeight="true" outlineLevel="0" collapsed="false">
      <c r="A57" s="34" t="s">
        <v>269</v>
      </c>
      <c r="B57" s="35" t="s">
        <v>286</v>
      </c>
      <c r="C57" s="34" t="s">
        <v>287</v>
      </c>
      <c r="D57" s="34" t="s">
        <v>288</v>
      </c>
      <c r="E57" s="36" t="n">
        <v>25</v>
      </c>
      <c r="F57" s="36" t="n">
        <v>2</v>
      </c>
      <c r="G57" s="36" t="n">
        <f aca="false">IFERROR(INDEX(Config!$E$5:$E$9,MATCH($F57,Config!$D$5:$D$9,0)),0)</f>
        <v>7</v>
      </c>
      <c r="H57" s="35" t="s">
        <v>247</v>
      </c>
      <c r="I57" s="35" t="s">
        <v>282</v>
      </c>
      <c r="J57" s="34"/>
      <c r="K57" s="35" t="str">
        <f aca="false">IF($I57="","No",IF(IFERROR(INDEX(Setup!$H$3:$H$62,MATCH($I57,Setup!$B$3:$B$62,0)),IFERROR(INDEX('App 1'!$H$3:$H$31,MATCH($I57,'App 1'!$B$3:$B$31,0)),IFERROR(INDEX('App 2'!$H$3:$H$11,MATCH($I57,'App 2'!$B$3:$B$11,0)),IFERROR(INDEX(Documentation!$H$3:$H$19,MATCH($I57,Documentation!$B$3:$B$19,0)),"Done"))))="Done","No","Yes"))</f>
        <v>Yes</v>
      </c>
      <c r="L57" s="36" t="str">
        <f aca="false">IF(AND($H57&lt;&gt;"Done",$K57="No"),ROW(),"")</f>
        <v/>
      </c>
    </row>
    <row r="58" customFormat="false" ht="40.5" hidden="false" customHeight="true" outlineLevel="0" collapsed="false">
      <c r="A58" s="34" t="s">
        <v>269</v>
      </c>
      <c r="B58" s="35" t="s">
        <v>289</v>
      </c>
      <c r="C58" s="34" t="s">
        <v>290</v>
      </c>
      <c r="D58" s="34" t="s">
        <v>291</v>
      </c>
      <c r="E58" s="36" t="n">
        <v>25</v>
      </c>
      <c r="F58" s="36" t="n">
        <v>2</v>
      </c>
      <c r="G58" s="36" t="n">
        <f aca="false">IFERROR(INDEX(Config!$E$5:$E$9,MATCH($F58,Config!$D$5:$D$9,0)),0)</f>
        <v>7</v>
      </c>
      <c r="H58" s="35" t="s">
        <v>247</v>
      </c>
      <c r="I58" s="35" t="s">
        <v>286</v>
      </c>
      <c r="J58" s="34" t="s">
        <v>292</v>
      </c>
      <c r="K58" s="35" t="str">
        <f aca="false">IF($I58="","No",IF(IFERROR(INDEX(Setup!$H$3:$H$62,MATCH($I58,Setup!$B$3:$B$62,0)),IFERROR(INDEX('App 1'!$H$3:$H$31,MATCH($I58,'App 1'!$B$3:$B$31,0)),IFERROR(INDEX('App 2'!$H$3:$H$11,MATCH($I58,'App 2'!$B$3:$B$11,0)),IFERROR(INDEX(Documentation!$H$3:$H$19,MATCH($I58,Documentation!$B$3:$B$19,0)),"Done"))))="Done","No","Yes"))</f>
        <v>Yes</v>
      </c>
      <c r="L58" s="36" t="str">
        <f aca="false">IF(AND($H58&lt;&gt;"Done",$K58="No"),ROW(),"")</f>
        <v/>
      </c>
    </row>
    <row r="59" customFormat="false" ht="40.5" hidden="false" customHeight="true" outlineLevel="0" collapsed="false">
      <c r="A59" s="34" t="s">
        <v>269</v>
      </c>
      <c r="B59" s="35" t="s">
        <v>293</v>
      </c>
      <c r="C59" s="34" t="s">
        <v>294</v>
      </c>
      <c r="D59" s="34" t="s">
        <v>295</v>
      </c>
      <c r="E59" s="36" t="n">
        <v>20</v>
      </c>
      <c r="F59" s="36" t="n">
        <v>2</v>
      </c>
      <c r="G59" s="36" t="n">
        <f aca="false">IFERROR(INDEX(Config!$E$5:$E$9,MATCH($F59,Config!$D$5:$D$9,0)),0)</f>
        <v>7</v>
      </c>
      <c r="H59" s="35" t="s">
        <v>247</v>
      </c>
      <c r="I59" s="35" t="s">
        <v>289</v>
      </c>
      <c r="J59" s="34" t="s">
        <v>296</v>
      </c>
      <c r="K59" s="35" t="str">
        <f aca="false">IF($I59="","No",IF(IFERROR(INDEX(Setup!$H$3:$H$62,MATCH($I59,Setup!$B$3:$B$62,0)),IFERROR(INDEX('App 1'!$H$3:$H$31,MATCH($I59,'App 1'!$B$3:$B$31,0)),IFERROR(INDEX('App 2'!$H$3:$H$11,MATCH($I59,'App 2'!$B$3:$B$11,0)),IFERROR(INDEX(Documentation!$H$3:$H$19,MATCH($I59,Documentation!$B$3:$B$19,0)),"Done"))))="Done","No","Yes"))</f>
        <v>Yes</v>
      </c>
      <c r="L59" s="36" t="str">
        <f aca="false">IF(AND($H59&lt;&gt;"Done",$K59="No"),ROW(),"")</f>
        <v/>
      </c>
    </row>
    <row r="60" customFormat="false" ht="40.5" hidden="false" customHeight="true" outlineLevel="0" collapsed="false">
      <c r="A60" s="34" t="s">
        <v>269</v>
      </c>
      <c r="B60" s="35" t="s">
        <v>297</v>
      </c>
      <c r="C60" s="34" t="s">
        <v>298</v>
      </c>
      <c r="D60" s="34" t="s">
        <v>299</v>
      </c>
      <c r="E60" s="36" t="n">
        <v>30</v>
      </c>
      <c r="F60" s="36" t="n">
        <v>2</v>
      </c>
      <c r="G60" s="36" t="n">
        <f aca="false">IFERROR(INDEX(Config!$E$5:$E$9,MATCH($F60,Config!$D$5:$D$9,0)),0)</f>
        <v>7</v>
      </c>
      <c r="H60" s="35" t="s">
        <v>247</v>
      </c>
      <c r="I60" s="35" t="s">
        <v>293</v>
      </c>
      <c r="J60" s="34" t="s">
        <v>300</v>
      </c>
      <c r="K60" s="35" t="str">
        <f aca="false">IF($I60="","No",IF(IFERROR(INDEX(Setup!$H$3:$H$62,MATCH($I60,Setup!$B$3:$B$62,0)),IFERROR(INDEX('App 1'!$H$3:$H$31,MATCH($I60,'App 1'!$B$3:$B$31,0)),IFERROR(INDEX('App 2'!$H$3:$H$11,MATCH($I60,'App 2'!$B$3:$B$11,0)),IFERROR(INDEX(Documentation!$H$3:$H$19,MATCH($I60,Documentation!$B$3:$B$19,0)),"Done"))))="Done","No","Yes"))</f>
        <v>Yes</v>
      </c>
      <c r="L60" s="36" t="str">
        <f aca="false">IF(AND($H60&lt;&gt;"Done",$K60="No"),ROW(),"")</f>
        <v/>
      </c>
    </row>
    <row r="61" customFormat="false" ht="56.25" hidden="false" customHeight="true" outlineLevel="0" collapsed="false">
      <c r="A61" s="34" t="s">
        <v>269</v>
      </c>
      <c r="B61" s="35" t="s">
        <v>301</v>
      </c>
      <c r="C61" s="34" t="s">
        <v>302</v>
      </c>
      <c r="D61" s="34" t="s">
        <v>303</v>
      </c>
      <c r="E61" s="36" t="n">
        <v>45</v>
      </c>
      <c r="F61" s="36" t="n">
        <v>3</v>
      </c>
      <c r="G61" s="36" t="n">
        <f aca="false">IFERROR(INDEX(Config!$E$5:$E$9,MATCH($F61,Config!$D$5:$D$9,0)),0)</f>
        <v>11</v>
      </c>
      <c r="H61" s="35" t="s">
        <v>247</v>
      </c>
      <c r="I61" s="35" t="s">
        <v>297</v>
      </c>
      <c r="J61" s="34" t="s">
        <v>304</v>
      </c>
      <c r="K61" s="35" t="str">
        <f aca="false">IF($I61="","No",IF(IFERROR(INDEX(Setup!$H$3:$H$62,MATCH($I61,Setup!$B$3:$B$62,0)),IFERROR(INDEX('App 1'!$H$3:$H$31,MATCH($I61,'App 1'!$B$3:$B$31,0)),IFERROR(INDEX('App 2'!$H$3:$H$11,MATCH($I61,'App 2'!$B$3:$B$11,0)),IFERROR(INDEX(Documentation!$H$3:$H$19,MATCH($I61,Documentation!$B$3:$B$19,0)),"Done"))))="Done","No","Yes"))</f>
        <v>Yes</v>
      </c>
      <c r="L61" s="36" t="str">
        <f aca="false">IF(AND($H61&lt;&gt;"Done",$K61="No"),ROW(),"")</f>
        <v/>
      </c>
    </row>
    <row r="62" customFormat="false" ht="56.25" hidden="false" customHeight="true" outlineLevel="0" collapsed="false">
      <c r="A62" s="34" t="s">
        <v>269</v>
      </c>
      <c r="B62" s="35" t="s">
        <v>305</v>
      </c>
      <c r="C62" s="34" t="s">
        <v>306</v>
      </c>
      <c r="D62" s="34" t="s">
        <v>307</v>
      </c>
      <c r="E62" s="36" t="n">
        <v>60</v>
      </c>
      <c r="F62" s="36" t="n">
        <v>3</v>
      </c>
      <c r="G62" s="36" t="n">
        <f aca="false">IFERROR(INDEX(Config!$E$5:$E$9,MATCH($F62,Config!$D$5:$D$9,0)),0)</f>
        <v>11</v>
      </c>
      <c r="H62" s="35" t="s">
        <v>247</v>
      </c>
      <c r="I62" s="35" t="s">
        <v>301</v>
      </c>
      <c r="J62" s="34" t="s">
        <v>308</v>
      </c>
      <c r="K62" s="35" t="str">
        <f aca="false">IF($I62="","No",IF(IFERROR(INDEX(Setup!$H$3:$H$62,MATCH($I62,Setup!$B$3:$B$62,0)),IFERROR(INDEX('App 1'!$H$3:$H$31,MATCH($I62,'App 1'!$B$3:$B$31,0)),IFERROR(INDEX('App 2'!$H$3:$H$11,MATCH($I62,'App 2'!$B$3:$B$11,0)),IFERROR(INDEX(Documentation!$H$3:$H$19,MATCH($I62,Documentation!$B$3:$B$19,0)),"Done"))))="Done","No","Yes"))</f>
        <v>Yes</v>
      </c>
      <c r="L62" s="36" t="str">
        <f aca="false">IF(AND($H62&lt;&gt;"Done",$K62="No"),ROW(),"")</f>
        <v/>
      </c>
    </row>
    <row r="63" customFormat="false" ht="15" hidden="false" customHeight="true" outlineLevel="0" collapsed="false">
      <c r="A63" s="2"/>
      <c r="B63" s="2"/>
      <c r="C63" s="2"/>
      <c r="D63" s="2"/>
      <c r="E63" s="2"/>
      <c r="F63" s="2"/>
      <c r="G63" s="2"/>
      <c r="H63" s="2"/>
      <c r="I63" s="2"/>
      <c r="J63" s="2"/>
      <c r="K63" s="2"/>
      <c r="L63" s="2"/>
    </row>
    <row r="64" customFormat="false" ht="15" hidden="false" customHeight="true" outlineLevel="0" collapsed="false">
      <c r="A64" s="2"/>
      <c r="B64" s="2"/>
      <c r="C64" s="2"/>
      <c r="D64" s="2"/>
      <c r="E64" s="2"/>
      <c r="F64" s="2"/>
      <c r="G64" s="2"/>
      <c r="H64" s="2"/>
      <c r="I64" s="2"/>
      <c r="J64" s="2"/>
      <c r="K64" s="2"/>
      <c r="L64" s="2"/>
    </row>
    <row r="65" customFormat="false" ht="15" hidden="false" customHeight="true" outlineLevel="0" collapsed="false">
      <c r="A65" s="2"/>
      <c r="B65" s="2"/>
      <c r="C65" s="2"/>
      <c r="D65" s="2"/>
      <c r="E65" s="2"/>
      <c r="F65" s="2"/>
      <c r="G65" s="2"/>
      <c r="H65" s="2"/>
      <c r="I65" s="2"/>
      <c r="J65" s="2"/>
      <c r="K65" s="2"/>
      <c r="L65" s="2"/>
    </row>
    <row r="66" customFormat="false" ht="15" hidden="false" customHeight="true" outlineLevel="0" collapsed="false">
      <c r="A66" s="2"/>
      <c r="B66" s="2"/>
      <c r="C66" s="2"/>
      <c r="D66" s="2"/>
      <c r="E66" s="2"/>
      <c r="F66" s="2"/>
      <c r="G66" s="2"/>
      <c r="H66" s="2"/>
      <c r="I66" s="2"/>
      <c r="J66" s="2"/>
      <c r="K66" s="2"/>
      <c r="L66" s="2"/>
    </row>
    <row r="67" customFormat="false" ht="15" hidden="false" customHeight="true" outlineLevel="0" collapsed="false">
      <c r="A67" s="2"/>
      <c r="B67" s="2"/>
      <c r="C67" s="2"/>
      <c r="D67" s="2"/>
      <c r="E67" s="2"/>
      <c r="F67" s="2"/>
      <c r="G67" s="2"/>
      <c r="H67" s="2"/>
      <c r="I67" s="2"/>
      <c r="J67" s="2"/>
      <c r="K67" s="2"/>
      <c r="L67" s="2"/>
    </row>
    <row r="68" customFormat="false" ht="15" hidden="false" customHeight="true" outlineLevel="0" collapsed="false">
      <c r="A68" s="2"/>
      <c r="B68" s="2"/>
      <c r="C68" s="2"/>
      <c r="D68" s="2"/>
      <c r="E68" s="2"/>
      <c r="F68" s="2"/>
      <c r="G68" s="2"/>
      <c r="H68" s="2"/>
      <c r="I68" s="2"/>
      <c r="J68" s="2"/>
      <c r="K68" s="2"/>
      <c r="L68" s="2"/>
    </row>
  </sheetData>
  <autoFilter ref="A2:L62"/>
  <mergeCells count="2">
    <mergeCell ref="A1:B1"/>
    <mergeCell ref="C1:J1"/>
  </mergeCells>
  <conditionalFormatting sqref="A3:L62">
    <cfRule type="expression" priority="2" aboveAverage="0" equalAverage="0" bottom="0" percent="0" rank="0" text="" dxfId="8">
      <formula>$H3="Done"</formula>
    </cfRule>
    <cfRule type="expression" priority="3" aboveAverage="0" equalAverage="0" bottom="0" percent="0" rank="0" text="" dxfId="9">
      <formula>$L3=MIN($L$3:$L$62)</formula>
    </cfRule>
    <cfRule type="expression" priority="4" aboveAverage="0" equalAverage="0" bottom="0" percent="0" rank="0" text="" dxfId="10">
      <formula>$H3="Blocked"</formula>
    </cfRule>
    <cfRule type="expression" priority="5" aboveAverage="0" equalAverage="0" bottom="0" percent="0" rank="0" text="" dxfId="11">
      <formula>$H3="In progress"</formula>
    </cfRule>
    <cfRule type="expression" priority="6" aboveAverage="0" equalAverage="0" bottom="0" percent="0" rank="0" text="" dxfId="12">
      <formula>$H3="Not started"</formula>
    </cfRule>
  </conditionalFormatting>
  <conditionalFormatting sqref="C3:C62">
    <cfRule type="expression" priority="7" aboveAverage="0" equalAverage="0" bottom="0" percent="0" rank="0" text="" dxfId="13">
      <formula>$H3="Done"</formula>
    </cfRule>
  </conditionalFormatting>
  <conditionalFormatting sqref="I3:I62">
    <cfRule type="expression" priority="8" aboveAverage="0" equalAverage="0" bottom="0" percent="0" rank="0" text="" dxfId="14">
      <formula>$K3="Yes"</formula>
    </cfRule>
  </conditionalFormatting>
  <conditionalFormatting sqref="K3:K62">
    <cfRule type="expression" priority="9" aboveAverage="0" equalAverage="0" bottom="0" percent="0" rank="0" text="" dxfId="14">
      <formula>$K3="Yes"</formula>
    </cfRule>
  </conditionalFormatting>
  <dataValidations count="4">
    <dataValidation allowBlank="true" error="Use the dropdown. Values live on the Config sheet." errorStyle="stop" errorTitle="Not a valid status" operator="between" prompt="Pick one: Not started, In progress, Blocked, Done.&#10;This one cell drives XP, level, badges, every progress bar and Next up." promptTitle="Status" showDropDown="false" showErrorMessage="true" showInputMessage="true" sqref="H3:H62" type="list">
      <formula1>Config!$B$5:$B$8</formula1>
      <formula2>0</formula2>
    </dataValidation>
    <dataValidation allowBlank="false" error="Whole numbers from 1 to 5 only." errorStyle="stop" errorTitle="Difficulty must be 1-5" operator="between" prompt="1 = mechanical, 5 = genuinely hard or high-consequence.&#10;Difficulty sets XP via the table on Config. Raise it if a task turns out harder than estimated - the XP follows automatically." promptTitle="Difficulty (1-5)" showDropDown="false" showErrorMessage="true" showInputMessage="true" sqref="F3:F62" type="whole">
      <formula1>1</formula1>
      <formula2>5</formula2>
    </dataValidation>
    <dataValidation allowBlank="false" error="Whole minutes between 5 and 240." errorStyle="stop" errorTitle="Out of range" operator="between" prompt="Your time, not the agents'. Whole minutes, 5 to 240.&#10;Everything here was scoped to 90 minutes or less - if a task needs more, split it into two rows instead of raising the number." promptTitle="Est. time (mins)" showDropDown="false" showErrorMessage="true" showInputMessage="true" sqref="E3:E62" type="whole">
      <formula1>5</formula1>
      <formula2>240</formula2>
    </dataValidation>
    <dataValidation allowBlank="true" error="Enter a single Task ID such as 3.7, or leave this blank." errorStyle="stop" errorTitle="One Task ID" operator="between" prompt="One Task ID, or leave blank. It may live on another track sheet - the lookup searches all four.&#10;Column K turns to Yes while that prerequisite is unfinished, and the row is skipped by Next up." promptTitle="Blocked by" showDropDown="false" showErrorMessage="true" showInputMessage="true" sqref="I3:I62" type="textLength">
      <formula1>0</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0"/>
    <col collapsed="false" customWidth="true" hidden="false" outlineLevel="0" max="3" min="3" style="1" width="46"/>
    <col collapsed="false" customWidth="true" hidden="false" outlineLevel="0" max="4" min="4" style="1" width="58"/>
    <col collapsed="false" customWidth="true" hidden="false" outlineLevel="0" max="6" min="5" style="1" width="12"/>
    <col collapsed="false" customWidth="true" hidden="false" outlineLevel="0" max="7" min="7" style="1" width="8"/>
    <col collapsed="false" customWidth="true" hidden="false" outlineLevel="0" max="8" min="8" style="1" width="15"/>
    <col collapsed="false" customWidth="true" hidden="false" outlineLevel="0" max="9" min="9" style="1" width="12"/>
    <col collapsed="false" customWidth="true" hidden="false" outlineLevel="0" max="10" min="10" style="1" width="74"/>
    <col collapsed="false" customWidth="true" hidden="false" outlineLevel="0" max="12" min="11" style="1" width="14"/>
  </cols>
  <sheetData>
    <row r="1" customFormat="false" ht="33.75" hidden="false" customHeight="true" outlineLevel="0" collapsed="false">
      <c r="A1" s="30" t="s">
        <v>309</v>
      </c>
      <c r="B1" s="30"/>
      <c r="C1" s="31" t="s">
        <v>31</v>
      </c>
      <c r="D1" s="31"/>
      <c r="E1" s="31"/>
      <c r="F1" s="31"/>
      <c r="G1" s="31"/>
      <c r="H1" s="31"/>
      <c r="I1" s="31"/>
      <c r="J1" s="31"/>
      <c r="K1" s="2"/>
      <c r="L1" s="2"/>
    </row>
    <row r="2" customFormat="false" ht="39.75" hidden="false" customHeight="true" outlineLevel="0" collapsed="false">
      <c r="A2" s="32" t="s">
        <v>26</v>
      </c>
      <c r="B2" s="33" t="s">
        <v>53</v>
      </c>
      <c r="C2" s="32" t="s">
        <v>54</v>
      </c>
      <c r="D2" s="32" t="s">
        <v>55</v>
      </c>
      <c r="E2" s="33" t="s">
        <v>56</v>
      </c>
      <c r="F2" s="33" t="s">
        <v>57</v>
      </c>
      <c r="G2" s="33" t="s">
        <v>58</v>
      </c>
      <c r="H2" s="33" t="s">
        <v>59</v>
      </c>
      <c r="I2" s="33" t="s">
        <v>60</v>
      </c>
      <c r="J2" s="32" t="s">
        <v>61</v>
      </c>
      <c r="K2" s="33" t="s">
        <v>62</v>
      </c>
      <c r="L2" s="33" t="s">
        <v>63</v>
      </c>
    </row>
    <row r="3" customFormat="false" ht="56.25" hidden="false" customHeight="true" outlineLevel="0" collapsed="false">
      <c r="A3" s="34" t="s">
        <v>310</v>
      </c>
      <c r="B3" s="35" t="s">
        <v>311</v>
      </c>
      <c r="C3" s="34" t="s">
        <v>312</v>
      </c>
      <c r="D3" s="34" t="s">
        <v>313</v>
      </c>
      <c r="E3" s="36" t="n">
        <v>75</v>
      </c>
      <c r="F3" s="36" t="n">
        <v>3</v>
      </c>
      <c r="G3" s="36" t="n">
        <f aca="false">IFERROR(INDEX(Config!$E$5:$E$9,MATCH($F3,Config!$D$5:$D$9,0)),0)</f>
        <v>11</v>
      </c>
      <c r="H3" s="35" t="s">
        <v>247</v>
      </c>
      <c r="I3" s="35" t="s">
        <v>305</v>
      </c>
      <c r="J3" s="34" t="s">
        <v>314</v>
      </c>
      <c r="K3" s="35" t="str">
        <f aca="false">IF($I3="","No",IF(IFERROR(INDEX(Setup!$H$3:$H$62,MATCH($I3,Setup!$B$3:$B$62,0)),IFERROR(INDEX('App 1'!$H$3:$H$31,MATCH($I3,'App 1'!$B$3:$B$31,0)),IFERROR(INDEX('App 2'!$H$3:$H$11,MATCH($I3,'App 2'!$B$3:$B$11,0)),IFERROR(INDEX(Documentation!$H$3:$H$19,MATCH($I3,Documentation!$B$3:$B$19,0)),"Done"))))="Done","No","Yes"))</f>
        <v>Yes</v>
      </c>
      <c r="L3" s="36" t="str">
        <f aca="false">IF(AND($H3&lt;&gt;"Done",$K3="No"),ROW(),"")</f>
        <v/>
      </c>
    </row>
    <row r="4" customFormat="false" ht="40.5" hidden="false" customHeight="true" outlineLevel="0" collapsed="false">
      <c r="A4" s="34" t="s">
        <v>310</v>
      </c>
      <c r="B4" s="35" t="s">
        <v>315</v>
      </c>
      <c r="C4" s="34" t="s">
        <v>316</v>
      </c>
      <c r="D4" s="34" t="s">
        <v>317</v>
      </c>
      <c r="E4" s="36" t="n">
        <v>60</v>
      </c>
      <c r="F4" s="36" t="n">
        <v>4</v>
      </c>
      <c r="G4" s="36" t="n">
        <f aca="false">IFERROR(INDEX(Config!$E$5:$E$9,MATCH($F4,Config!$D$5:$D$9,0)),0)</f>
        <v>17</v>
      </c>
      <c r="H4" s="35" t="s">
        <v>247</v>
      </c>
      <c r="I4" s="35" t="s">
        <v>311</v>
      </c>
      <c r="J4" s="34" t="s">
        <v>318</v>
      </c>
      <c r="K4" s="35" t="str">
        <f aca="false">IF($I4="","No",IF(IFERROR(INDEX(Setup!$H$3:$H$62,MATCH($I4,Setup!$B$3:$B$62,0)),IFERROR(INDEX('App 1'!$H$3:$H$31,MATCH($I4,'App 1'!$B$3:$B$31,0)),IFERROR(INDEX('App 2'!$H$3:$H$11,MATCH($I4,'App 2'!$B$3:$B$11,0)),IFERROR(INDEX(Documentation!$H$3:$H$19,MATCH($I4,Documentation!$B$3:$B$19,0)),"Done"))))="Done","No","Yes"))</f>
        <v>Yes</v>
      </c>
      <c r="L4" s="36" t="str">
        <f aca="false">IF(AND($H4&lt;&gt;"Done",$K4="No"),ROW(),"")</f>
        <v/>
      </c>
    </row>
    <row r="5" customFormat="false" ht="40.5" hidden="false" customHeight="true" outlineLevel="0" collapsed="false">
      <c r="A5" s="34" t="s">
        <v>310</v>
      </c>
      <c r="B5" s="35" t="s">
        <v>319</v>
      </c>
      <c r="C5" s="34" t="s">
        <v>320</v>
      </c>
      <c r="D5" s="34" t="s">
        <v>321</v>
      </c>
      <c r="E5" s="36" t="n">
        <v>80</v>
      </c>
      <c r="F5" s="36" t="n">
        <v>3</v>
      </c>
      <c r="G5" s="36" t="n">
        <f aca="false">IFERROR(INDEX(Config!$E$5:$E$9,MATCH($F5,Config!$D$5:$D$9,0)),0)</f>
        <v>11</v>
      </c>
      <c r="H5" s="35" t="s">
        <v>247</v>
      </c>
      <c r="I5" s="35" t="s">
        <v>311</v>
      </c>
      <c r="J5" s="34" t="s">
        <v>322</v>
      </c>
      <c r="K5" s="35" t="str">
        <f aca="false">IF($I5="","No",IF(IFERROR(INDEX(Setup!$H$3:$H$62,MATCH($I5,Setup!$B$3:$B$62,0)),IFERROR(INDEX('App 1'!$H$3:$H$31,MATCH($I5,'App 1'!$B$3:$B$31,0)),IFERROR(INDEX('App 2'!$H$3:$H$11,MATCH($I5,'App 2'!$B$3:$B$11,0)),IFERROR(INDEX(Documentation!$H$3:$H$19,MATCH($I5,Documentation!$B$3:$B$19,0)),"Done"))))="Done","No","Yes"))</f>
        <v>Yes</v>
      </c>
      <c r="L5" s="36" t="str">
        <f aca="false">IF(AND($H5&lt;&gt;"Done",$K5="No"),ROW(),"")</f>
        <v/>
      </c>
    </row>
    <row r="6" customFormat="false" ht="40.5" hidden="false" customHeight="true" outlineLevel="0" collapsed="false">
      <c r="A6" s="34" t="s">
        <v>310</v>
      </c>
      <c r="B6" s="35" t="s">
        <v>323</v>
      </c>
      <c r="C6" s="34" t="s">
        <v>324</v>
      </c>
      <c r="D6" s="34" t="s">
        <v>325</v>
      </c>
      <c r="E6" s="36" t="n">
        <v>40</v>
      </c>
      <c r="F6" s="36" t="n">
        <v>2</v>
      </c>
      <c r="G6" s="36" t="n">
        <f aca="false">IFERROR(INDEX(Config!$E$5:$E$9,MATCH($F6,Config!$D$5:$D$9,0)),0)</f>
        <v>7</v>
      </c>
      <c r="H6" s="35" t="s">
        <v>247</v>
      </c>
      <c r="I6" s="35" t="s">
        <v>319</v>
      </c>
      <c r="J6" s="34" t="s">
        <v>326</v>
      </c>
      <c r="K6" s="35" t="str">
        <f aca="false">IF($I6="","No",IF(IFERROR(INDEX(Setup!$H$3:$H$62,MATCH($I6,Setup!$B$3:$B$62,0)),IFERROR(INDEX('App 1'!$H$3:$H$31,MATCH($I6,'App 1'!$B$3:$B$31,0)),IFERROR(INDEX('App 2'!$H$3:$H$11,MATCH($I6,'App 2'!$B$3:$B$11,0)),IFERROR(INDEX(Documentation!$H$3:$H$19,MATCH($I6,Documentation!$B$3:$B$19,0)),"Done"))))="Done","No","Yes"))</f>
        <v>Yes</v>
      </c>
      <c r="L6" s="36" t="str">
        <f aca="false">IF(AND($H6&lt;&gt;"Done",$K6="No"),ROW(),"")</f>
        <v/>
      </c>
    </row>
    <row r="7" customFormat="false" ht="40.5" hidden="false" customHeight="true" outlineLevel="0" collapsed="false">
      <c r="A7" s="34" t="s">
        <v>310</v>
      </c>
      <c r="B7" s="35" t="s">
        <v>327</v>
      </c>
      <c r="C7" s="34" t="s">
        <v>328</v>
      </c>
      <c r="D7" s="34" t="s">
        <v>329</v>
      </c>
      <c r="E7" s="36" t="n">
        <v>10</v>
      </c>
      <c r="F7" s="36" t="n">
        <v>1</v>
      </c>
      <c r="G7" s="36" t="n">
        <f aca="false">IFERROR(INDEX(Config!$E$5:$E$9,MATCH($F7,Config!$D$5:$D$9,0)),0)</f>
        <v>4</v>
      </c>
      <c r="H7" s="35" t="s">
        <v>247</v>
      </c>
      <c r="I7" s="35" t="s">
        <v>323</v>
      </c>
      <c r="J7" s="34" t="s">
        <v>330</v>
      </c>
      <c r="K7" s="35" t="str">
        <f aca="false">IF($I7="","No",IF(IFERROR(INDEX(Setup!$H$3:$H$62,MATCH($I7,Setup!$B$3:$B$62,0)),IFERROR(INDEX('App 1'!$H$3:$H$31,MATCH($I7,'App 1'!$B$3:$B$31,0)),IFERROR(INDEX('App 2'!$H$3:$H$11,MATCH($I7,'App 2'!$B$3:$B$11,0)),IFERROR(INDEX(Documentation!$H$3:$H$19,MATCH($I7,Documentation!$B$3:$B$19,0)),"Done"))))="Done","No","Yes"))</f>
        <v>Yes</v>
      </c>
      <c r="L7" s="36" t="str">
        <f aca="false">IF(AND($H7&lt;&gt;"Done",$K7="No"),ROW(),"")</f>
        <v/>
      </c>
    </row>
    <row r="8" customFormat="false" ht="56.25" hidden="false" customHeight="true" outlineLevel="0" collapsed="false">
      <c r="A8" s="34" t="s">
        <v>310</v>
      </c>
      <c r="B8" s="35" t="s">
        <v>331</v>
      </c>
      <c r="C8" s="34" t="s">
        <v>332</v>
      </c>
      <c r="D8" s="34" t="s">
        <v>333</v>
      </c>
      <c r="E8" s="36" t="n">
        <v>25</v>
      </c>
      <c r="F8" s="36" t="n">
        <v>2</v>
      </c>
      <c r="G8" s="36" t="n">
        <f aca="false">IFERROR(INDEX(Config!$E$5:$E$9,MATCH($F8,Config!$D$5:$D$9,0)),0)</f>
        <v>7</v>
      </c>
      <c r="H8" s="35" t="s">
        <v>247</v>
      </c>
      <c r="I8" s="35" t="s">
        <v>327</v>
      </c>
      <c r="J8" s="34" t="s">
        <v>334</v>
      </c>
      <c r="K8" s="35" t="str">
        <f aca="false">IF($I8="","No",IF(IFERROR(INDEX(Setup!$H$3:$H$62,MATCH($I8,Setup!$B$3:$B$62,0)),IFERROR(INDEX('App 1'!$H$3:$H$31,MATCH($I8,'App 1'!$B$3:$B$31,0)),IFERROR(INDEX('App 2'!$H$3:$H$11,MATCH($I8,'App 2'!$B$3:$B$11,0)),IFERROR(INDEX(Documentation!$H$3:$H$19,MATCH($I8,Documentation!$B$3:$B$19,0)),"Done"))))="Done","No","Yes"))</f>
        <v>Yes</v>
      </c>
      <c r="L8" s="36" t="str">
        <f aca="false">IF(AND($H8&lt;&gt;"Done",$K8="No"),ROW(),"")</f>
        <v/>
      </c>
    </row>
    <row r="9" customFormat="false" ht="40.5" hidden="false" customHeight="true" outlineLevel="0" collapsed="false">
      <c r="A9" s="34" t="s">
        <v>310</v>
      </c>
      <c r="B9" s="35" t="s">
        <v>335</v>
      </c>
      <c r="C9" s="34" t="s">
        <v>336</v>
      </c>
      <c r="D9" s="34" t="s">
        <v>337</v>
      </c>
      <c r="E9" s="36" t="n">
        <v>25</v>
      </c>
      <c r="F9" s="36" t="n">
        <v>2</v>
      </c>
      <c r="G9" s="36" t="n">
        <f aca="false">IFERROR(INDEX(Config!$E$5:$E$9,MATCH($F9,Config!$D$5:$D$9,0)),0)</f>
        <v>7</v>
      </c>
      <c r="H9" s="35" t="s">
        <v>247</v>
      </c>
      <c r="I9" s="35" t="s">
        <v>331</v>
      </c>
      <c r="J9" s="34"/>
      <c r="K9" s="35" t="str">
        <f aca="false">IF($I9="","No",IF(IFERROR(INDEX(Setup!$H$3:$H$62,MATCH($I9,Setup!$B$3:$B$62,0)),IFERROR(INDEX('App 1'!$H$3:$H$31,MATCH($I9,'App 1'!$B$3:$B$31,0)),IFERROR(INDEX('App 2'!$H$3:$H$11,MATCH($I9,'App 2'!$B$3:$B$11,0)),IFERROR(INDEX(Documentation!$H$3:$H$19,MATCH($I9,Documentation!$B$3:$B$19,0)),"Done"))))="Done","No","Yes"))</f>
        <v>Yes</v>
      </c>
      <c r="L9" s="36" t="str">
        <f aca="false">IF(AND($H9&lt;&gt;"Done",$K9="No"),ROW(),"")</f>
        <v/>
      </c>
    </row>
    <row r="10" customFormat="false" ht="40.5" hidden="false" customHeight="true" outlineLevel="0" collapsed="false">
      <c r="A10" s="34" t="s">
        <v>310</v>
      </c>
      <c r="B10" s="35" t="s">
        <v>338</v>
      </c>
      <c r="C10" s="34" t="s">
        <v>339</v>
      </c>
      <c r="D10" s="34" t="s">
        <v>337</v>
      </c>
      <c r="E10" s="36" t="n">
        <v>25</v>
      </c>
      <c r="F10" s="36" t="n">
        <v>2</v>
      </c>
      <c r="G10" s="36" t="n">
        <f aca="false">IFERROR(INDEX(Config!$E$5:$E$9,MATCH($F10,Config!$D$5:$D$9,0)),0)</f>
        <v>7</v>
      </c>
      <c r="H10" s="35" t="s">
        <v>247</v>
      </c>
      <c r="I10" s="35" t="s">
        <v>335</v>
      </c>
      <c r="J10" s="34"/>
      <c r="K10" s="35" t="str">
        <f aca="false">IF($I10="","No",IF(IFERROR(INDEX(Setup!$H$3:$H$62,MATCH($I10,Setup!$B$3:$B$62,0)),IFERROR(INDEX('App 1'!$H$3:$H$31,MATCH($I10,'App 1'!$B$3:$B$31,0)),IFERROR(INDEX('App 2'!$H$3:$H$11,MATCH($I10,'App 2'!$B$3:$B$11,0)),IFERROR(INDEX(Documentation!$H$3:$H$19,MATCH($I10,Documentation!$B$3:$B$19,0)),"Done"))))="Done","No","Yes"))</f>
        <v>Yes</v>
      </c>
      <c r="L10" s="36" t="str">
        <f aca="false">IF(AND($H10&lt;&gt;"Done",$K10="No"),ROW(),"")</f>
        <v/>
      </c>
    </row>
    <row r="11" customFormat="false" ht="40.5" hidden="false" customHeight="true" outlineLevel="0" collapsed="false">
      <c r="A11" s="34" t="s">
        <v>310</v>
      </c>
      <c r="B11" s="35" t="s">
        <v>340</v>
      </c>
      <c r="C11" s="34" t="s">
        <v>341</v>
      </c>
      <c r="D11" s="34" t="s">
        <v>342</v>
      </c>
      <c r="E11" s="36" t="n">
        <v>20</v>
      </c>
      <c r="F11" s="36" t="n">
        <v>2</v>
      </c>
      <c r="G11" s="36" t="n">
        <f aca="false">IFERROR(INDEX(Config!$E$5:$E$9,MATCH($F11,Config!$D$5:$D$9,0)),0)</f>
        <v>7</v>
      </c>
      <c r="H11" s="35" t="s">
        <v>247</v>
      </c>
      <c r="I11" s="35" t="s">
        <v>331</v>
      </c>
      <c r="J11" s="34" t="s">
        <v>343</v>
      </c>
      <c r="K11" s="35" t="str">
        <f aca="false">IF($I11="","No",IF(IFERROR(INDEX(Setup!$H$3:$H$62,MATCH($I11,Setup!$B$3:$B$62,0)),IFERROR(INDEX('App 1'!$H$3:$H$31,MATCH($I11,'App 1'!$B$3:$B$31,0)),IFERROR(INDEX('App 2'!$H$3:$H$11,MATCH($I11,'App 2'!$B$3:$B$11,0)),IFERROR(INDEX(Documentation!$H$3:$H$19,MATCH($I11,Documentation!$B$3:$B$19,0)),"Done"))))="Done","No","Yes"))</f>
        <v>Yes</v>
      </c>
      <c r="L11" s="36" t="str">
        <f aca="false">IF(AND($H11&lt;&gt;"Done",$K11="No"),ROW(),"")</f>
        <v/>
      </c>
    </row>
    <row r="12" customFormat="false" ht="40.5" hidden="false" customHeight="true" outlineLevel="0" collapsed="false">
      <c r="A12" s="34" t="s">
        <v>310</v>
      </c>
      <c r="B12" s="35" t="s">
        <v>344</v>
      </c>
      <c r="C12" s="34" t="s">
        <v>345</v>
      </c>
      <c r="D12" s="34" t="s">
        <v>346</v>
      </c>
      <c r="E12" s="36" t="n">
        <v>45</v>
      </c>
      <c r="F12" s="36" t="n">
        <v>3</v>
      </c>
      <c r="G12" s="36" t="n">
        <f aca="false">IFERROR(INDEX(Config!$E$5:$E$9,MATCH($F12,Config!$D$5:$D$9,0)),0)</f>
        <v>11</v>
      </c>
      <c r="H12" s="35" t="s">
        <v>247</v>
      </c>
      <c r="I12" s="35" t="s">
        <v>335</v>
      </c>
      <c r="J12" s="34" t="s">
        <v>347</v>
      </c>
      <c r="K12" s="35" t="str">
        <f aca="false">IF($I12="","No",IF(IFERROR(INDEX(Setup!$H$3:$H$62,MATCH($I12,Setup!$B$3:$B$62,0)),IFERROR(INDEX('App 1'!$H$3:$H$31,MATCH($I12,'App 1'!$B$3:$B$31,0)),IFERROR(INDEX('App 2'!$H$3:$H$11,MATCH($I12,'App 2'!$B$3:$B$11,0)),IFERROR(INDEX(Documentation!$H$3:$H$19,MATCH($I12,Documentation!$B$3:$B$19,0)),"Done"))))="Done","No","Yes"))</f>
        <v>Yes</v>
      </c>
      <c r="L12" s="36" t="str">
        <f aca="false">IF(AND($H12&lt;&gt;"Done",$K12="No"),ROW(),"")</f>
        <v/>
      </c>
    </row>
    <row r="13" customFormat="false" ht="56.25" hidden="false" customHeight="true" outlineLevel="0" collapsed="false">
      <c r="A13" s="34" t="s">
        <v>310</v>
      </c>
      <c r="B13" s="35" t="s">
        <v>348</v>
      </c>
      <c r="C13" s="34" t="s">
        <v>349</v>
      </c>
      <c r="D13" s="34" t="s">
        <v>350</v>
      </c>
      <c r="E13" s="36" t="n">
        <v>40</v>
      </c>
      <c r="F13" s="36" t="n">
        <v>3</v>
      </c>
      <c r="G13" s="36" t="n">
        <f aca="false">IFERROR(INDEX(Config!$E$5:$E$9,MATCH($F13,Config!$D$5:$D$9,0)),0)</f>
        <v>11</v>
      </c>
      <c r="H13" s="35" t="s">
        <v>247</v>
      </c>
      <c r="I13" s="35" t="s">
        <v>335</v>
      </c>
      <c r="J13" s="34" t="s">
        <v>351</v>
      </c>
      <c r="K13" s="35" t="str">
        <f aca="false">IF($I13="","No",IF(IFERROR(INDEX(Setup!$H$3:$H$62,MATCH($I13,Setup!$B$3:$B$62,0)),IFERROR(INDEX('App 1'!$H$3:$H$31,MATCH($I13,'App 1'!$B$3:$B$31,0)),IFERROR(INDEX('App 2'!$H$3:$H$11,MATCH($I13,'App 2'!$B$3:$B$11,0)),IFERROR(INDEX(Documentation!$H$3:$H$19,MATCH($I13,Documentation!$B$3:$B$19,0)),"Done"))))="Done","No","Yes"))</f>
        <v>Yes</v>
      </c>
      <c r="L13" s="36" t="str">
        <f aca="false">IF(AND($H13&lt;&gt;"Done",$K13="No"),ROW(),"")</f>
        <v/>
      </c>
    </row>
    <row r="14" customFormat="false" ht="25.5" hidden="false" customHeight="true" outlineLevel="0" collapsed="false">
      <c r="A14" s="34" t="s">
        <v>310</v>
      </c>
      <c r="B14" s="35" t="s">
        <v>352</v>
      </c>
      <c r="C14" s="34" t="s">
        <v>353</v>
      </c>
      <c r="D14" s="34" t="s">
        <v>354</v>
      </c>
      <c r="E14" s="36" t="n">
        <v>40</v>
      </c>
      <c r="F14" s="36" t="n">
        <v>2</v>
      </c>
      <c r="G14" s="36" t="n">
        <f aca="false">IFERROR(INDEX(Config!$E$5:$E$9,MATCH($F14,Config!$D$5:$D$9,0)),0)</f>
        <v>7</v>
      </c>
      <c r="H14" s="35" t="s">
        <v>247</v>
      </c>
      <c r="I14" s="35" t="s">
        <v>338</v>
      </c>
      <c r="J14" s="34"/>
      <c r="K14" s="35" t="str">
        <f aca="false">IF($I14="","No",IF(IFERROR(INDEX(Setup!$H$3:$H$62,MATCH($I14,Setup!$B$3:$B$62,0)),IFERROR(INDEX('App 1'!$H$3:$H$31,MATCH($I14,'App 1'!$B$3:$B$31,0)),IFERROR(INDEX('App 2'!$H$3:$H$11,MATCH($I14,'App 2'!$B$3:$B$11,0)),IFERROR(INDEX(Documentation!$H$3:$H$19,MATCH($I14,Documentation!$B$3:$B$19,0)),"Done"))))="Done","No","Yes"))</f>
        <v>Yes</v>
      </c>
      <c r="L14" s="36" t="str">
        <f aca="false">IF(AND($H14&lt;&gt;"Done",$K14="No"),ROW(),"")</f>
        <v/>
      </c>
    </row>
    <row r="15" customFormat="false" ht="40.5" hidden="false" customHeight="true" outlineLevel="0" collapsed="false">
      <c r="A15" s="34" t="s">
        <v>310</v>
      </c>
      <c r="B15" s="35" t="s">
        <v>355</v>
      </c>
      <c r="C15" s="34" t="s">
        <v>356</v>
      </c>
      <c r="D15" s="34" t="s">
        <v>357</v>
      </c>
      <c r="E15" s="36" t="n">
        <v>45</v>
      </c>
      <c r="F15" s="36" t="n">
        <v>3</v>
      </c>
      <c r="G15" s="36" t="n">
        <f aca="false">IFERROR(INDEX(Config!$E$5:$E$9,MATCH($F15,Config!$D$5:$D$9,0)),0)</f>
        <v>11</v>
      </c>
      <c r="H15" s="35" t="s">
        <v>247</v>
      </c>
      <c r="I15" s="35" t="s">
        <v>352</v>
      </c>
      <c r="J15" s="34" t="s">
        <v>358</v>
      </c>
      <c r="K15" s="35" t="str">
        <f aca="false">IF($I15="","No",IF(IFERROR(INDEX(Setup!$H$3:$H$62,MATCH($I15,Setup!$B$3:$B$62,0)),IFERROR(INDEX('App 1'!$H$3:$H$31,MATCH($I15,'App 1'!$B$3:$B$31,0)),IFERROR(INDEX('App 2'!$H$3:$H$11,MATCH($I15,'App 2'!$B$3:$B$11,0)),IFERROR(INDEX(Documentation!$H$3:$H$19,MATCH($I15,Documentation!$B$3:$B$19,0)),"Done"))))="Done","No","Yes"))</f>
        <v>Yes</v>
      </c>
      <c r="L15" s="36" t="str">
        <f aca="false">IF(AND($H15&lt;&gt;"Done",$K15="No"),ROW(),"")</f>
        <v/>
      </c>
    </row>
    <row r="16" customFormat="false" ht="40.5" hidden="false" customHeight="true" outlineLevel="0" collapsed="false">
      <c r="A16" s="34" t="s">
        <v>310</v>
      </c>
      <c r="B16" s="35" t="s">
        <v>359</v>
      </c>
      <c r="C16" s="34" t="s">
        <v>360</v>
      </c>
      <c r="D16" s="34" t="s">
        <v>361</v>
      </c>
      <c r="E16" s="36" t="n">
        <v>40</v>
      </c>
      <c r="F16" s="36" t="n">
        <v>3</v>
      </c>
      <c r="G16" s="36" t="n">
        <f aca="false">IFERROR(INDEX(Config!$E$5:$E$9,MATCH($F16,Config!$D$5:$D$9,0)),0)</f>
        <v>11</v>
      </c>
      <c r="H16" s="35" t="s">
        <v>247</v>
      </c>
      <c r="I16" s="35" t="s">
        <v>355</v>
      </c>
      <c r="J16" s="34" t="s">
        <v>362</v>
      </c>
      <c r="K16" s="35" t="str">
        <f aca="false">IF($I16="","No",IF(IFERROR(INDEX(Setup!$H$3:$H$62,MATCH($I16,Setup!$B$3:$B$62,0)),IFERROR(INDEX('App 1'!$H$3:$H$31,MATCH($I16,'App 1'!$B$3:$B$31,0)),IFERROR(INDEX('App 2'!$H$3:$H$11,MATCH($I16,'App 2'!$B$3:$B$11,0)),IFERROR(INDEX(Documentation!$H$3:$H$19,MATCH($I16,Documentation!$B$3:$B$19,0)),"Done"))))="Done","No","Yes"))</f>
        <v>Yes</v>
      </c>
      <c r="L16" s="36" t="str">
        <f aca="false">IF(AND($H16&lt;&gt;"Done",$K16="No"),ROW(),"")</f>
        <v/>
      </c>
    </row>
    <row r="17" customFormat="false" ht="40.5" hidden="false" customHeight="true" outlineLevel="0" collapsed="false">
      <c r="A17" s="34" t="s">
        <v>310</v>
      </c>
      <c r="B17" s="35" t="s">
        <v>363</v>
      </c>
      <c r="C17" s="34" t="s">
        <v>364</v>
      </c>
      <c r="D17" s="34" t="s">
        <v>365</v>
      </c>
      <c r="E17" s="36" t="n">
        <v>25</v>
      </c>
      <c r="F17" s="36" t="n">
        <v>2</v>
      </c>
      <c r="G17" s="36" t="n">
        <f aca="false">IFERROR(INDEX(Config!$E$5:$E$9,MATCH($F17,Config!$D$5:$D$9,0)),0)</f>
        <v>7</v>
      </c>
      <c r="H17" s="35" t="s">
        <v>247</v>
      </c>
      <c r="I17" s="35" t="s">
        <v>338</v>
      </c>
      <c r="J17" s="34" t="s">
        <v>366</v>
      </c>
      <c r="K17" s="35" t="str">
        <f aca="false">IF($I17="","No",IF(IFERROR(INDEX(Setup!$H$3:$H$62,MATCH($I17,Setup!$B$3:$B$62,0)),IFERROR(INDEX('App 1'!$H$3:$H$31,MATCH($I17,'App 1'!$B$3:$B$31,0)),IFERROR(INDEX('App 2'!$H$3:$H$11,MATCH($I17,'App 2'!$B$3:$B$11,0)),IFERROR(INDEX(Documentation!$H$3:$H$19,MATCH($I17,Documentation!$B$3:$B$19,0)),"Done"))))="Done","No","Yes"))</f>
        <v>Yes</v>
      </c>
      <c r="L17" s="36" t="str">
        <f aca="false">IF(AND($H17&lt;&gt;"Done",$K17="No"),ROW(),"")</f>
        <v/>
      </c>
    </row>
    <row r="18" customFormat="false" ht="56.25" hidden="false" customHeight="true" outlineLevel="0" collapsed="false">
      <c r="A18" s="34" t="s">
        <v>310</v>
      </c>
      <c r="B18" s="35" t="s">
        <v>367</v>
      </c>
      <c r="C18" s="34" t="s">
        <v>368</v>
      </c>
      <c r="D18" s="34" t="s">
        <v>369</v>
      </c>
      <c r="E18" s="36" t="n">
        <v>30</v>
      </c>
      <c r="F18" s="36" t="n">
        <v>2</v>
      </c>
      <c r="G18" s="36" t="n">
        <f aca="false">IFERROR(INDEX(Config!$E$5:$E$9,MATCH($F18,Config!$D$5:$D$9,0)),0)</f>
        <v>7</v>
      </c>
      <c r="H18" s="35" t="s">
        <v>247</v>
      </c>
      <c r="I18" s="35" t="s">
        <v>338</v>
      </c>
      <c r="J18" s="34" t="s">
        <v>370</v>
      </c>
      <c r="K18" s="35" t="str">
        <f aca="false">IF($I18="","No",IF(IFERROR(INDEX(Setup!$H$3:$H$62,MATCH($I18,Setup!$B$3:$B$62,0)),IFERROR(INDEX('App 1'!$H$3:$H$31,MATCH($I18,'App 1'!$B$3:$B$31,0)),IFERROR(INDEX('App 2'!$H$3:$H$11,MATCH($I18,'App 2'!$B$3:$B$11,0)),IFERROR(INDEX(Documentation!$H$3:$H$19,MATCH($I18,Documentation!$B$3:$B$19,0)),"Done"))))="Done","No","Yes"))</f>
        <v>Yes</v>
      </c>
      <c r="L18" s="36" t="str">
        <f aca="false">IF(AND($H18&lt;&gt;"Done",$K18="No"),ROW(),"")</f>
        <v/>
      </c>
    </row>
    <row r="19" customFormat="false" ht="40.5" hidden="false" customHeight="true" outlineLevel="0" collapsed="false">
      <c r="A19" s="34" t="s">
        <v>310</v>
      </c>
      <c r="B19" s="35" t="s">
        <v>371</v>
      </c>
      <c r="C19" s="34" t="s">
        <v>372</v>
      </c>
      <c r="D19" s="34" t="s">
        <v>373</v>
      </c>
      <c r="E19" s="36" t="n">
        <v>30</v>
      </c>
      <c r="F19" s="36" t="n">
        <v>2</v>
      </c>
      <c r="G19" s="36" t="n">
        <f aca="false">IFERROR(INDEX(Config!$E$5:$E$9,MATCH($F19,Config!$D$5:$D$9,0)),0)</f>
        <v>7</v>
      </c>
      <c r="H19" s="35" t="s">
        <v>247</v>
      </c>
      <c r="I19" s="35" t="s">
        <v>338</v>
      </c>
      <c r="J19" s="34" t="s">
        <v>374</v>
      </c>
      <c r="K19" s="35" t="str">
        <f aca="false">IF($I19="","No",IF(IFERROR(INDEX(Setup!$H$3:$H$62,MATCH($I19,Setup!$B$3:$B$62,0)),IFERROR(INDEX('App 1'!$H$3:$H$31,MATCH($I19,'App 1'!$B$3:$B$31,0)),IFERROR(INDEX('App 2'!$H$3:$H$11,MATCH($I19,'App 2'!$B$3:$B$11,0)),IFERROR(INDEX(Documentation!$H$3:$H$19,MATCH($I19,Documentation!$B$3:$B$19,0)),"Done"))))="Done","No","Yes"))</f>
        <v>Yes</v>
      </c>
      <c r="L19" s="36" t="str">
        <f aca="false">IF(AND($H19&lt;&gt;"Done",$K19="No"),ROW(),"")</f>
        <v/>
      </c>
    </row>
    <row r="20" customFormat="false" ht="40.5" hidden="false" customHeight="true" outlineLevel="0" collapsed="false">
      <c r="A20" s="34" t="s">
        <v>310</v>
      </c>
      <c r="B20" s="35" t="s">
        <v>375</v>
      </c>
      <c r="C20" s="34" t="s">
        <v>376</v>
      </c>
      <c r="D20" s="34" t="s">
        <v>377</v>
      </c>
      <c r="E20" s="36" t="n">
        <v>20</v>
      </c>
      <c r="F20" s="36" t="n">
        <v>2</v>
      </c>
      <c r="G20" s="36" t="n">
        <f aca="false">IFERROR(INDEX(Config!$E$5:$E$9,MATCH($F20,Config!$D$5:$D$9,0)),0)</f>
        <v>7</v>
      </c>
      <c r="H20" s="35" t="s">
        <v>247</v>
      </c>
      <c r="I20" s="35" t="s">
        <v>371</v>
      </c>
      <c r="J20" s="34" t="s">
        <v>378</v>
      </c>
      <c r="K20" s="35" t="str">
        <f aca="false">IF($I20="","No",IF(IFERROR(INDEX(Setup!$H$3:$H$62,MATCH($I20,Setup!$B$3:$B$62,0)),IFERROR(INDEX('App 1'!$H$3:$H$31,MATCH($I20,'App 1'!$B$3:$B$31,0)),IFERROR(INDEX('App 2'!$H$3:$H$11,MATCH($I20,'App 2'!$B$3:$B$11,0)),IFERROR(INDEX(Documentation!$H$3:$H$19,MATCH($I20,Documentation!$B$3:$B$19,0)),"Done"))))="Done","No","Yes"))</f>
        <v>Yes</v>
      </c>
      <c r="L20" s="36" t="str">
        <f aca="false">IF(AND($H20&lt;&gt;"Done",$K20="No"),ROW(),"")</f>
        <v/>
      </c>
    </row>
    <row r="21" customFormat="false" ht="40.5" hidden="false" customHeight="true" outlineLevel="0" collapsed="false">
      <c r="A21" s="34" t="s">
        <v>379</v>
      </c>
      <c r="B21" s="35" t="s">
        <v>380</v>
      </c>
      <c r="C21" s="34" t="s">
        <v>381</v>
      </c>
      <c r="D21" s="34" t="s">
        <v>382</v>
      </c>
      <c r="E21" s="36" t="n">
        <v>75</v>
      </c>
      <c r="F21" s="36" t="n">
        <v>3</v>
      </c>
      <c r="G21" s="36" t="n">
        <f aca="false">IFERROR(INDEX(Config!$E$5:$E$9,MATCH($F21,Config!$D$5:$D$9,0)),0)</f>
        <v>11</v>
      </c>
      <c r="H21" s="35" t="s">
        <v>247</v>
      </c>
      <c r="I21" s="35" t="s">
        <v>375</v>
      </c>
      <c r="J21" s="34" t="s">
        <v>383</v>
      </c>
      <c r="K21" s="35" t="str">
        <f aca="false">IF($I21="","No",IF(IFERROR(INDEX(Setup!$H$3:$H$62,MATCH($I21,Setup!$B$3:$B$62,0)),IFERROR(INDEX('App 1'!$H$3:$H$31,MATCH($I21,'App 1'!$B$3:$B$31,0)),IFERROR(INDEX('App 2'!$H$3:$H$11,MATCH($I21,'App 2'!$B$3:$B$11,0)),IFERROR(INDEX(Documentation!$H$3:$H$19,MATCH($I21,Documentation!$B$3:$B$19,0)),"Done"))))="Done","No","Yes"))</f>
        <v>Yes</v>
      </c>
      <c r="L21" s="36" t="str">
        <f aca="false">IF(AND($H21&lt;&gt;"Done",$K21="No"),ROW(),"")</f>
        <v/>
      </c>
    </row>
    <row r="22" customFormat="false" ht="40.5" hidden="false" customHeight="true" outlineLevel="0" collapsed="false">
      <c r="A22" s="34" t="s">
        <v>379</v>
      </c>
      <c r="B22" s="35" t="s">
        <v>384</v>
      </c>
      <c r="C22" s="34" t="s">
        <v>385</v>
      </c>
      <c r="D22" s="34" t="s">
        <v>386</v>
      </c>
      <c r="E22" s="36" t="n">
        <v>60</v>
      </c>
      <c r="F22" s="36" t="n">
        <v>3</v>
      </c>
      <c r="G22" s="36" t="n">
        <f aca="false">IFERROR(INDEX(Config!$E$5:$E$9,MATCH($F22,Config!$D$5:$D$9,0)),0)</f>
        <v>11</v>
      </c>
      <c r="H22" s="35" t="s">
        <v>247</v>
      </c>
      <c r="I22" s="35" t="s">
        <v>380</v>
      </c>
      <c r="J22" s="34" t="s">
        <v>387</v>
      </c>
      <c r="K22" s="35" t="str">
        <f aca="false">IF($I22="","No",IF(IFERROR(INDEX(Setup!$H$3:$H$62,MATCH($I22,Setup!$B$3:$B$62,0)),IFERROR(INDEX('App 1'!$H$3:$H$31,MATCH($I22,'App 1'!$B$3:$B$31,0)),IFERROR(INDEX('App 2'!$H$3:$H$11,MATCH($I22,'App 2'!$B$3:$B$11,0)),IFERROR(INDEX(Documentation!$H$3:$H$19,MATCH($I22,Documentation!$B$3:$B$19,0)),"Done"))))="Done","No","Yes"))</f>
        <v>Yes</v>
      </c>
      <c r="L22" s="36" t="str">
        <f aca="false">IF(AND($H22&lt;&gt;"Done",$K22="No"),ROW(),"")</f>
        <v/>
      </c>
    </row>
    <row r="23" customFormat="false" ht="40.5" hidden="false" customHeight="true" outlineLevel="0" collapsed="false">
      <c r="A23" s="34" t="s">
        <v>379</v>
      </c>
      <c r="B23" s="35" t="s">
        <v>388</v>
      </c>
      <c r="C23" s="34" t="s">
        <v>389</v>
      </c>
      <c r="D23" s="34" t="s">
        <v>390</v>
      </c>
      <c r="E23" s="36" t="n">
        <v>50</v>
      </c>
      <c r="F23" s="36" t="n">
        <v>3</v>
      </c>
      <c r="G23" s="36" t="n">
        <f aca="false">IFERROR(INDEX(Config!$E$5:$E$9,MATCH($F23,Config!$D$5:$D$9,0)),0)</f>
        <v>11</v>
      </c>
      <c r="H23" s="35" t="s">
        <v>247</v>
      </c>
      <c r="I23" s="35" t="s">
        <v>384</v>
      </c>
      <c r="J23" s="34"/>
      <c r="K23" s="35" t="str">
        <f aca="false">IF($I23="","No",IF(IFERROR(INDEX(Setup!$H$3:$H$62,MATCH($I23,Setup!$B$3:$B$62,0)),IFERROR(INDEX('App 1'!$H$3:$H$31,MATCH($I23,'App 1'!$B$3:$B$31,0)),IFERROR(INDEX('App 2'!$H$3:$H$11,MATCH($I23,'App 2'!$B$3:$B$11,0)),IFERROR(INDEX(Documentation!$H$3:$H$19,MATCH($I23,Documentation!$B$3:$B$19,0)),"Done"))))="Done","No","Yes"))</f>
        <v>Yes</v>
      </c>
      <c r="L23" s="36" t="str">
        <f aca="false">IF(AND($H23&lt;&gt;"Done",$K23="No"),ROW(),"")</f>
        <v/>
      </c>
    </row>
    <row r="24" customFormat="false" ht="40.5" hidden="false" customHeight="true" outlineLevel="0" collapsed="false">
      <c r="A24" s="34" t="s">
        <v>379</v>
      </c>
      <c r="B24" s="35" t="s">
        <v>391</v>
      </c>
      <c r="C24" s="34" t="s">
        <v>392</v>
      </c>
      <c r="D24" s="34" t="s">
        <v>393</v>
      </c>
      <c r="E24" s="36" t="n">
        <v>40</v>
      </c>
      <c r="F24" s="36" t="n">
        <v>2</v>
      </c>
      <c r="G24" s="36" t="n">
        <f aca="false">IFERROR(INDEX(Config!$E$5:$E$9,MATCH($F24,Config!$D$5:$D$9,0)),0)</f>
        <v>7</v>
      </c>
      <c r="H24" s="35" t="s">
        <v>247</v>
      </c>
      <c r="I24" s="35" t="s">
        <v>384</v>
      </c>
      <c r="J24" s="34"/>
      <c r="K24" s="35" t="str">
        <f aca="false">IF($I24="","No",IF(IFERROR(INDEX(Setup!$H$3:$H$62,MATCH($I24,Setup!$B$3:$B$62,0)),IFERROR(INDEX('App 1'!$H$3:$H$31,MATCH($I24,'App 1'!$B$3:$B$31,0)),IFERROR(INDEX('App 2'!$H$3:$H$11,MATCH($I24,'App 2'!$B$3:$B$11,0)),IFERROR(INDEX(Documentation!$H$3:$H$19,MATCH($I24,Documentation!$B$3:$B$19,0)),"Done"))))="Done","No","Yes"))</f>
        <v>Yes</v>
      </c>
      <c r="L24" s="36" t="str">
        <f aca="false">IF(AND($H24&lt;&gt;"Done",$K24="No"),ROW(),"")</f>
        <v/>
      </c>
    </row>
    <row r="25" customFormat="false" ht="40.5" hidden="false" customHeight="true" outlineLevel="0" collapsed="false">
      <c r="A25" s="34" t="s">
        <v>379</v>
      </c>
      <c r="B25" s="35" t="s">
        <v>394</v>
      </c>
      <c r="C25" s="34" t="s">
        <v>395</v>
      </c>
      <c r="D25" s="34" t="s">
        <v>396</v>
      </c>
      <c r="E25" s="36" t="n">
        <v>60</v>
      </c>
      <c r="F25" s="36" t="n">
        <v>4</v>
      </c>
      <c r="G25" s="36" t="n">
        <f aca="false">IFERROR(INDEX(Config!$E$5:$E$9,MATCH($F25,Config!$D$5:$D$9,0)),0)</f>
        <v>17</v>
      </c>
      <c r="H25" s="35" t="s">
        <v>247</v>
      </c>
      <c r="I25" s="35" t="s">
        <v>384</v>
      </c>
      <c r="J25" s="34" t="s">
        <v>397</v>
      </c>
      <c r="K25" s="35" t="str">
        <f aca="false">IF($I25="","No",IF(IFERROR(INDEX(Setup!$H$3:$H$62,MATCH($I25,Setup!$B$3:$B$62,0)),IFERROR(INDEX('App 1'!$H$3:$H$31,MATCH($I25,'App 1'!$B$3:$B$31,0)),IFERROR(INDEX('App 2'!$H$3:$H$11,MATCH($I25,'App 2'!$B$3:$B$11,0)),IFERROR(INDEX(Documentation!$H$3:$H$19,MATCH($I25,Documentation!$B$3:$B$19,0)),"Done"))))="Done","No","Yes"))</f>
        <v>Yes</v>
      </c>
      <c r="L25" s="36" t="str">
        <f aca="false">IF(AND($H25&lt;&gt;"Done",$K25="No"),ROW(),"")</f>
        <v/>
      </c>
    </row>
    <row r="26" customFormat="false" ht="56.25" hidden="false" customHeight="true" outlineLevel="0" collapsed="false">
      <c r="A26" s="34" t="s">
        <v>379</v>
      </c>
      <c r="B26" s="35" t="s">
        <v>398</v>
      </c>
      <c r="C26" s="34" t="s">
        <v>399</v>
      </c>
      <c r="D26" s="34" t="s">
        <v>400</v>
      </c>
      <c r="E26" s="36" t="n">
        <v>60</v>
      </c>
      <c r="F26" s="36" t="n">
        <v>3</v>
      </c>
      <c r="G26" s="36" t="n">
        <f aca="false">IFERROR(INDEX(Config!$E$5:$E$9,MATCH($F26,Config!$D$5:$D$9,0)),0)</f>
        <v>11</v>
      </c>
      <c r="H26" s="35" t="s">
        <v>247</v>
      </c>
      <c r="I26" s="35" t="s">
        <v>384</v>
      </c>
      <c r="J26" s="34" t="s">
        <v>401</v>
      </c>
      <c r="K26" s="35" t="str">
        <f aca="false">IF($I26="","No",IF(IFERROR(INDEX(Setup!$H$3:$H$62,MATCH($I26,Setup!$B$3:$B$62,0)),IFERROR(INDEX('App 1'!$H$3:$H$31,MATCH($I26,'App 1'!$B$3:$B$31,0)),IFERROR(INDEX('App 2'!$H$3:$H$11,MATCH($I26,'App 2'!$B$3:$B$11,0)),IFERROR(INDEX(Documentation!$H$3:$H$19,MATCH($I26,Documentation!$B$3:$B$19,0)),"Done"))))="Done","No","Yes"))</f>
        <v>Yes</v>
      </c>
      <c r="L26" s="36" t="str">
        <f aca="false">IF(AND($H26&lt;&gt;"Done",$K26="No"),ROW(),"")</f>
        <v/>
      </c>
    </row>
    <row r="27" customFormat="false" ht="40.5" hidden="false" customHeight="true" outlineLevel="0" collapsed="false">
      <c r="A27" s="34" t="s">
        <v>379</v>
      </c>
      <c r="B27" s="35" t="s">
        <v>402</v>
      </c>
      <c r="C27" s="34" t="s">
        <v>403</v>
      </c>
      <c r="D27" s="34" t="s">
        <v>404</v>
      </c>
      <c r="E27" s="36" t="n">
        <v>40</v>
      </c>
      <c r="F27" s="36" t="n">
        <v>2</v>
      </c>
      <c r="G27" s="36" t="n">
        <f aca="false">IFERROR(INDEX(Config!$E$5:$E$9,MATCH($F27,Config!$D$5:$D$9,0)),0)</f>
        <v>7</v>
      </c>
      <c r="H27" s="35" t="s">
        <v>247</v>
      </c>
      <c r="I27" s="35" t="s">
        <v>380</v>
      </c>
      <c r="J27" s="34" t="s">
        <v>405</v>
      </c>
      <c r="K27" s="35" t="str">
        <f aca="false">IF($I27="","No",IF(IFERROR(INDEX(Setup!$H$3:$H$62,MATCH($I27,Setup!$B$3:$B$62,0)),IFERROR(INDEX('App 1'!$H$3:$H$31,MATCH($I27,'App 1'!$B$3:$B$31,0)),IFERROR(INDEX('App 2'!$H$3:$H$11,MATCH($I27,'App 2'!$B$3:$B$11,0)),IFERROR(INDEX(Documentation!$H$3:$H$19,MATCH($I27,Documentation!$B$3:$B$19,0)),"Done"))))="Done","No","Yes"))</f>
        <v>Yes</v>
      </c>
      <c r="L27" s="36" t="str">
        <f aca="false">IF(AND($H27&lt;&gt;"Done",$K27="No"),ROW(),"")</f>
        <v/>
      </c>
    </row>
    <row r="28" customFormat="false" ht="40.5" hidden="false" customHeight="true" outlineLevel="0" collapsed="false">
      <c r="A28" s="34" t="s">
        <v>379</v>
      </c>
      <c r="B28" s="35" t="s">
        <v>406</v>
      </c>
      <c r="C28" s="34" t="s">
        <v>407</v>
      </c>
      <c r="D28" s="34" t="s">
        <v>408</v>
      </c>
      <c r="E28" s="36" t="n">
        <v>30</v>
      </c>
      <c r="F28" s="36" t="n">
        <v>2</v>
      </c>
      <c r="G28" s="36" t="n">
        <f aca="false">IFERROR(INDEX(Config!$E$5:$E$9,MATCH($F28,Config!$D$5:$D$9,0)),0)</f>
        <v>7</v>
      </c>
      <c r="H28" s="35" t="s">
        <v>247</v>
      </c>
      <c r="I28" s="35" t="s">
        <v>391</v>
      </c>
      <c r="J28" s="34"/>
      <c r="K28" s="35" t="str">
        <f aca="false">IF($I28="","No",IF(IFERROR(INDEX(Setup!$H$3:$H$62,MATCH($I28,Setup!$B$3:$B$62,0)),IFERROR(INDEX('App 1'!$H$3:$H$31,MATCH($I28,'App 1'!$B$3:$B$31,0)),IFERROR(INDEX('App 2'!$H$3:$H$11,MATCH($I28,'App 2'!$B$3:$B$11,0)),IFERROR(INDEX(Documentation!$H$3:$H$19,MATCH($I28,Documentation!$B$3:$B$19,0)),"Done"))))="Done","No","Yes"))</f>
        <v>Yes</v>
      </c>
      <c r="L28" s="36" t="str">
        <f aca="false">IF(AND($H28&lt;&gt;"Done",$K28="No"),ROW(),"")</f>
        <v/>
      </c>
    </row>
    <row r="29" customFormat="false" ht="40.5" hidden="false" customHeight="true" outlineLevel="0" collapsed="false">
      <c r="A29" s="34" t="s">
        <v>379</v>
      </c>
      <c r="B29" s="35" t="s">
        <v>409</v>
      </c>
      <c r="C29" s="34" t="s">
        <v>410</v>
      </c>
      <c r="D29" s="34" t="s">
        <v>411</v>
      </c>
      <c r="E29" s="36" t="n">
        <v>50</v>
      </c>
      <c r="F29" s="36" t="n">
        <v>3</v>
      </c>
      <c r="G29" s="36" t="n">
        <f aca="false">IFERROR(INDEX(Config!$E$5:$E$9,MATCH($F29,Config!$D$5:$D$9,0)),0)</f>
        <v>11</v>
      </c>
      <c r="H29" s="35" t="s">
        <v>247</v>
      </c>
      <c r="I29" s="35" t="s">
        <v>394</v>
      </c>
      <c r="J29" s="34" t="s">
        <v>412</v>
      </c>
      <c r="K29" s="35" t="str">
        <f aca="false">IF($I29="","No",IF(IFERROR(INDEX(Setup!$H$3:$H$62,MATCH($I29,Setup!$B$3:$B$62,0)),IFERROR(INDEX('App 1'!$H$3:$H$31,MATCH($I29,'App 1'!$B$3:$B$31,0)),IFERROR(INDEX('App 2'!$H$3:$H$11,MATCH($I29,'App 2'!$B$3:$B$11,0)),IFERROR(INDEX(Documentation!$H$3:$H$19,MATCH($I29,Documentation!$B$3:$B$19,0)),"Done"))))="Done","No","Yes"))</f>
        <v>Yes</v>
      </c>
      <c r="L29" s="36" t="str">
        <f aca="false">IF(AND($H29&lt;&gt;"Done",$K29="No"),ROW(),"")</f>
        <v/>
      </c>
    </row>
    <row r="30" customFormat="false" ht="40.5" hidden="false" customHeight="true" outlineLevel="0" collapsed="false">
      <c r="A30" s="34" t="s">
        <v>379</v>
      </c>
      <c r="B30" s="35" t="s">
        <v>413</v>
      </c>
      <c r="C30" s="34" t="s">
        <v>414</v>
      </c>
      <c r="D30" s="34" t="s">
        <v>415</v>
      </c>
      <c r="E30" s="36" t="n">
        <v>50</v>
      </c>
      <c r="F30" s="36" t="n">
        <v>3</v>
      </c>
      <c r="G30" s="36" t="n">
        <f aca="false">IFERROR(INDEX(Config!$E$5:$E$9,MATCH($F30,Config!$D$5:$D$9,0)),0)</f>
        <v>11</v>
      </c>
      <c r="H30" s="35" t="s">
        <v>247</v>
      </c>
      <c r="I30" s="35" t="s">
        <v>409</v>
      </c>
      <c r="J30" s="34"/>
      <c r="K30" s="35" t="str">
        <f aca="false">IF($I30="","No",IF(IFERROR(INDEX(Setup!$H$3:$H$62,MATCH($I30,Setup!$B$3:$B$62,0)),IFERROR(INDEX('App 1'!$H$3:$H$31,MATCH($I30,'App 1'!$B$3:$B$31,0)),IFERROR(INDEX('App 2'!$H$3:$H$11,MATCH($I30,'App 2'!$B$3:$B$11,0)),IFERROR(INDEX(Documentation!$H$3:$H$19,MATCH($I30,Documentation!$B$3:$B$19,0)),"Done"))))="Done","No","Yes"))</f>
        <v>Yes</v>
      </c>
      <c r="L30" s="36" t="str">
        <f aca="false">IF(AND($H30&lt;&gt;"Done",$K30="No"),ROW(),"")</f>
        <v/>
      </c>
    </row>
    <row r="31" customFormat="false" ht="40.5" hidden="false" customHeight="true" outlineLevel="0" collapsed="false">
      <c r="A31" s="34" t="s">
        <v>379</v>
      </c>
      <c r="B31" s="35" t="s">
        <v>416</v>
      </c>
      <c r="C31" s="34" t="s">
        <v>417</v>
      </c>
      <c r="D31" s="34" t="s">
        <v>418</v>
      </c>
      <c r="E31" s="36" t="n">
        <v>40</v>
      </c>
      <c r="F31" s="36" t="n">
        <v>3</v>
      </c>
      <c r="G31" s="36" t="n">
        <f aca="false">IFERROR(INDEX(Config!$E$5:$E$9,MATCH($F31,Config!$D$5:$D$9,0)),0)</f>
        <v>11</v>
      </c>
      <c r="H31" s="35" t="s">
        <v>247</v>
      </c>
      <c r="I31" s="35" t="s">
        <v>380</v>
      </c>
      <c r="J31" s="34" t="s">
        <v>419</v>
      </c>
      <c r="K31" s="35" t="str">
        <f aca="false">IF($I31="","No",IF(IFERROR(INDEX(Setup!$H$3:$H$62,MATCH($I31,Setup!$B$3:$B$62,0)),IFERROR(INDEX('App 1'!$H$3:$H$31,MATCH($I31,'App 1'!$B$3:$B$31,0)),IFERROR(INDEX('App 2'!$H$3:$H$11,MATCH($I31,'App 2'!$B$3:$B$11,0)),IFERROR(INDEX(Documentation!$H$3:$H$19,MATCH($I31,Documentation!$B$3:$B$19,0)),"Done"))))="Done","No","Yes"))</f>
        <v>Yes</v>
      </c>
      <c r="L31" s="36" t="str">
        <f aca="false">IF(AND($H31&lt;&gt;"Done",$K31="No"),ROW(),"")</f>
        <v/>
      </c>
    </row>
    <row r="32" customFormat="false" ht="15" hidden="false" customHeight="true" outlineLevel="0" collapsed="false">
      <c r="A32" s="2"/>
      <c r="B32" s="2"/>
      <c r="C32" s="2"/>
      <c r="D32" s="2"/>
      <c r="E32" s="2"/>
      <c r="F32" s="2"/>
      <c r="G32" s="2"/>
      <c r="H32" s="2"/>
      <c r="I32" s="2"/>
      <c r="J32" s="2"/>
      <c r="K32" s="2"/>
      <c r="L32" s="2"/>
    </row>
    <row r="33" customFormat="false" ht="15" hidden="false" customHeight="true" outlineLevel="0" collapsed="false">
      <c r="A33" s="2"/>
      <c r="B33" s="2"/>
      <c r="C33" s="2"/>
      <c r="D33" s="2"/>
      <c r="E33" s="2"/>
      <c r="F33" s="2"/>
      <c r="G33" s="2"/>
      <c r="H33" s="2"/>
      <c r="I33" s="2"/>
      <c r="J33" s="2"/>
      <c r="K33" s="2"/>
      <c r="L33" s="2"/>
    </row>
    <row r="34" customFormat="false" ht="15" hidden="false" customHeight="true" outlineLevel="0" collapsed="false">
      <c r="A34" s="2"/>
      <c r="B34" s="2"/>
      <c r="C34" s="2"/>
      <c r="D34" s="2"/>
      <c r="E34" s="2"/>
      <c r="F34" s="2"/>
      <c r="G34" s="2"/>
      <c r="H34" s="2"/>
      <c r="I34" s="2"/>
      <c r="J34" s="2"/>
      <c r="K34" s="2"/>
      <c r="L34" s="2"/>
    </row>
    <row r="35" customFormat="false" ht="15" hidden="false" customHeight="true" outlineLevel="0" collapsed="false">
      <c r="A35" s="2"/>
      <c r="B35" s="2"/>
      <c r="C35" s="2"/>
      <c r="D35" s="2"/>
      <c r="E35" s="2"/>
      <c r="F35" s="2"/>
      <c r="G35" s="2"/>
      <c r="H35" s="2"/>
      <c r="I35" s="2"/>
      <c r="J35" s="2"/>
      <c r="K35" s="2"/>
      <c r="L35" s="2"/>
    </row>
    <row r="36" customFormat="false" ht="15" hidden="false" customHeight="true" outlineLevel="0" collapsed="false">
      <c r="A36" s="2"/>
      <c r="B36" s="2"/>
      <c r="C36" s="2"/>
      <c r="D36" s="2"/>
      <c r="E36" s="2"/>
      <c r="F36" s="2"/>
      <c r="G36" s="2"/>
      <c r="H36" s="2"/>
      <c r="I36" s="2"/>
      <c r="J36" s="2"/>
      <c r="K36" s="2"/>
      <c r="L36" s="2"/>
    </row>
    <row r="37" customFormat="false" ht="15" hidden="false" customHeight="true" outlineLevel="0" collapsed="false">
      <c r="A37" s="2"/>
      <c r="B37" s="2"/>
      <c r="C37" s="2"/>
      <c r="D37" s="2"/>
      <c r="E37" s="2"/>
      <c r="F37" s="2"/>
      <c r="G37" s="2"/>
      <c r="H37" s="2"/>
      <c r="I37" s="2"/>
      <c r="J37" s="2"/>
      <c r="K37" s="2"/>
      <c r="L37" s="2"/>
    </row>
  </sheetData>
  <autoFilter ref="A2:L31"/>
  <mergeCells count="2">
    <mergeCell ref="A1:B1"/>
    <mergeCell ref="C1:J1"/>
  </mergeCells>
  <conditionalFormatting sqref="A3:L31">
    <cfRule type="expression" priority="2" aboveAverage="0" equalAverage="0" bottom="0" percent="0" rank="0" text="" dxfId="8">
      <formula>$H3="Done"</formula>
    </cfRule>
    <cfRule type="expression" priority="3" aboveAverage="0" equalAverage="0" bottom="0" percent="0" rank="0" text="" dxfId="9">
      <formula>$L3=MIN($L$3:$L$31)</formula>
    </cfRule>
    <cfRule type="expression" priority="4" aboveAverage="0" equalAverage="0" bottom="0" percent="0" rank="0" text="" dxfId="10">
      <formula>$H3="Blocked"</formula>
    </cfRule>
    <cfRule type="expression" priority="5" aboveAverage="0" equalAverage="0" bottom="0" percent="0" rank="0" text="" dxfId="11">
      <formula>$H3="In progress"</formula>
    </cfRule>
    <cfRule type="expression" priority="6" aboveAverage="0" equalAverage="0" bottom="0" percent="0" rank="0" text="" dxfId="12">
      <formula>$H3="Not started"</formula>
    </cfRule>
  </conditionalFormatting>
  <conditionalFormatting sqref="C3:C31">
    <cfRule type="expression" priority="7" aboveAverage="0" equalAverage="0" bottom="0" percent="0" rank="0" text="" dxfId="13">
      <formula>$H3="Done"</formula>
    </cfRule>
  </conditionalFormatting>
  <conditionalFormatting sqref="I3:I31">
    <cfRule type="expression" priority="8" aboveAverage="0" equalAverage="0" bottom="0" percent="0" rank="0" text="" dxfId="14">
      <formula>$K3="Yes"</formula>
    </cfRule>
  </conditionalFormatting>
  <conditionalFormatting sqref="K3:K31">
    <cfRule type="expression" priority="9" aboveAverage="0" equalAverage="0" bottom="0" percent="0" rank="0" text="" dxfId="14">
      <formula>$K3="Yes"</formula>
    </cfRule>
  </conditionalFormatting>
  <dataValidations count="4">
    <dataValidation allowBlank="true" error="Use the dropdown. Values live on the Config sheet." errorStyle="stop" errorTitle="Not a valid status" operator="between" prompt="Pick one: Not started, In progress, Blocked, Done.&#10;This one cell drives XP, level, badges, every progress bar and Next up." promptTitle="Status" showDropDown="false" showErrorMessage="true" showInputMessage="true" sqref="H3:H31" type="list">
      <formula1>Config!$B$5:$B$8</formula1>
      <formula2>0</formula2>
    </dataValidation>
    <dataValidation allowBlank="false" error="Whole numbers from 1 to 5 only." errorStyle="stop" errorTitle="Difficulty must be 1-5" operator="between" prompt="1 = mechanical, 5 = genuinely hard or high-consequence.&#10;Difficulty sets XP via the table on Config. Raise it if a task turns out harder than estimated - the XP follows automatically." promptTitle="Difficulty (1-5)" showDropDown="false" showErrorMessage="true" showInputMessage="true" sqref="F3:F31" type="whole">
      <formula1>1</formula1>
      <formula2>5</formula2>
    </dataValidation>
    <dataValidation allowBlank="false" error="Whole minutes between 5 and 240." errorStyle="stop" errorTitle="Out of range" operator="between" prompt="Your time, not the agents'. Whole minutes, 5 to 240.&#10;Everything here was scoped to 90 minutes or less - if a task needs more, split it into two rows instead of raising the number." promptTitle="Est. time (mins)" showDropDown="false" showErrorMessage="true" showInputMessage="true" sqref="E3:E31" type="whole">
      <formula1>5</formula1>
      <formula2>240</formula2>
    </dataValidation>
    <dataValidation allowBlank="true" error="Enter a single Task ID such as 3.7, or leave this blank." errorStyle="stop" errorTitle="One Task ID" operator="between" prompt="One Task ID, or leave blank. It may live on another track sheet - the lookup searches all four.&#10;Column K turns to Yes while that prerequisite is unfinished, and the row is skipped by Next up." promptTitle="Blocked by" showDropDown="false" showErrorMessage="true" showInputMessage="true" sqref="I3:I31" type="textLength">
      <formula1>0</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0"/>
    <col collapsed="false" customWidth="true" hidden="false" outlineLevel="0" max="3" min="3" style="1" width="46"/>
    <col collapsed="false" customWidth="true" hidden="false" outlineLevel="0" max="4" min="4" style="1" width="58"/>
    <col collapsed="false" customWidth="true" hidden="false" outlineLevel="0" max="6" min="5" style="1" width="12"/>
    <col collapsed="false" customWidth="true" hidden="false" outlineLevel="0" max="7" min="7" style="1" width="8"/>
    <col collapsed="false" customWidth="true" hidden="false" outlineLevel="0" max="8" min="8" style="1" width="15"/>
    <col collapsed="false" customWidth="true" hidden="false" outlineLevel="0" max="9" min="9" style="1" width="12"/>
    <col collapsed="false" customWidth="true" hidden="false" outlineLevel="0" max="10" min="10" style="1" width="74"/>
    <col collapsed="false" customWidth="true" hidden="false" outlineLevel="0" max="12" min="11" style="1" width="14"/>
  </cols>
  <sheetData>
    <row r="1" customFormat="false" ht="33.75" hidden="false" customHeight="true" outlineLevel="0" collapsed="false">
      <c r="A1" s="30" t="s">
        <v>420</v>
      </c>
      <c r="B1" s="30"/>
      <c r="C1" s="31" t="s">
        <v>34</v>
      </c>
      <c r="D1" s="31"/>
      <c r="E1" s="31"/>
      <c r="F1" s="31"/>
      <c r="G1" s="31"/>
      <c r="H1" s="31"/>
      <c r="I1" s="31"/>
      <c r="J1" s="31"/>
      <c r="K1" s="2"/>
      <c r="L1" s="2"/>
    </row>
    <row r="2" customFormat="false" ht="39.75" hidden="false" customHeight="true" outlineLevel="0" collapsed="false">
      <c r="A2" s="32" t="s">
        <v>26</v>
      </c>
      <c r="B2" s="33" t="s">
        <v>53</v>
      </c>
      <c r="C2" s="32" t="s">
        <v>54</v>
      </c>
      <c r="D2" s="32" t="s">
        <v>55</v>
      </c>
      <c r="E2" s="33" t="s">
        <v>56</v>
      </c>
      <c r="F2" s="33" t="s">
        <v>57</v>
      </c>
      <c r="G2" s="33" t="s">
        <v>58</v>
      </c>
      <c r="H2" s="33" t="s">
        <v>59</v>
      </c>
      <c r="I2" s="33" t="s">
        <v>60</v>
      </c>
      <c r="J2" s="32" t="s">
        <v>61</v>
      </c>
      <c r="K2" s="33" t="s">
        <v>62</v>
      </c>
      <c r="L2" s="33" t="s">
        <v>63</v>
      </c>
    </row>
    <row r="3" customFormat="false" ht="40.5" hidden="false" customHeight="true" outlineLevel="0" collapsed="false">
      <c r="A3" s="34" t="s">
        <v>421</v>
      </c>
      <c r="B3" s="35" t="s">
        <v>422</v>
      </c>
      <c r="C3" s="34" t="s">
        <v>423</v>
      </c>
      <c r="D3" s="34" t="s">
        <v>424</v>
      </c>
      <c r="E3" s="36" t="n">
        <v>40</v>
      </c>
      <c r="F3" s="36" t="n">
        <v>2</v>
      </c>
      <c r="G3" s="36" t="n">
        <f aca="false">IFERROR(INDEX(Config!$E$5:$E$9,MATCH($F3,Config!$D$5:$D$9,0)),0)</f>
        <v>7</v>
      </c>
      <c r="H3" s="35" t="s">
        <v>247</v>
      </c>
      <c r="I3" s="35" t="s">
        <v>409</v>
      </c>
      <c r="J3" s="34" t="s">
        <v>425</v>
      </c>
      <c r="K3" s="35" t="str">
        <f aca="false">IF($I3="","No",IF(IFERROR(INDEX(Setup!$H$3:$H$62,MATCH($I3,Setup!$B$3:$B$62,0)),IFERROR(INDEX('App 1'!$H$3:$H$31,MATCH($I3,'App 1'!$B$3:$B$31,0)),IFERROR(INDEX('App 2'!$H$3:$H$11,MATCH($I3,'App 2'!$B$3:$B$11,0)),IFERROR(INDEX(Documentation!$H$3:$H$19,MATCH($I3,Documentation!$B$3:$B$19,0)),"Done"))))="Done","No","Yes"))</f>
        <v>Yes</v>
      </c>
      <c r="L3" s="36" t="str">
        <f aca="false">IF(AND($H3&lt;&gt;"Done",$K3="No"),ROW(),"")</f>
        <v/>
      </c>
    </row>
    <row r="4" customFormat="false" ht="40.5" hidden="false" customHeight="true" outlineLevel="0" collapsed="false">
      <c r="A4" s="34" t="s">
        <v>421</v>
      </c>
      <c r="B4" s="35" t="s">
        <v>426</v>
      </c>
      <c r="C4" s="34" t="s">
        <v>427</v>
      </c>
      <c r="D4" s="34" t="s">
        <v>428</v>
      </c>
      <c r="E4" s="36" t="n">
        <v>30</v>
      </c>
      <c r="F4" s="36" t="n">
        <v>2</v>
      </c>
      <c r="G4" s="36" t="n">
        <f aca="false">IFERROR(INDEX(Config!$E$5:$E$9,MATCH($F4,Config!$D$5:$D$9,0)),0)</f>
        <v>7</v>
      </c>
      <c r="H4" s="35" t="s">
        <v>247</v>
      </c>
      <c r="I4" s="35" t="s">
        <v>422</v>
      </c>
      <c r="J4" s="34" t="s">
        <v>429</v>
      </c>
      <c r="K4" s="35" t="str">
        <f aca="false">IF($I4="","No",IF(IFERROR(INDEX(Setup!$H$3:$H$62,MATCH($I4,Setup!$B$3:$B$62,0)),IFERROR(INDEX('App 1'!$H$3:$H$31,MATCH($I4,'App 1'!$B$3:$B$31,0)),IFERROR(INDEX('App 2'!$H$3:$H$11,MATCH($I4,'App 2'!$B$3:$B$11,0)),IFERROR(INDEX(Documentation!$H$3:$H$19,MATCH($I4,Documentation!$B$3:$B$19,0)),"Done"))))="Done","No","Yes"))</f>
        <v>Yes</v>
      </c>
      <c r="L4" s="36" t="str">
        <f aca="false">IF(AND($H4&lt;&gt;"Done",$K4="No"),ROW(),"")</f>
        <v/>
      </c>
    </row>
    <row r="5" customFormat="false" ht="40.5" hidden="false" customHeight="true" outlineLevel="0" collapsed="false">
      <c r="A5" s="34" t="s">
        <v>421</v>
      </c>
      <c r="B5" s="35" t="s">
        <v>430</v>
      </c>
      <c r="C5" s="34" t="s">
        <v>431</v>
      </c>
      <c r="D5" s="34" t="s">
        <v>432</v>
      </c>
      <c r="E5" s="36" t="n">
        <v>75</v>
      </c>
      <c r="F5" s="36" t="n">
        <v>4</v>
      </c>
      <c r="G5" s="36" t="n">
        <f aca="false">IFERROR(INDEX(Config!$E$5:$E$9,MATCH($F5,Config!$D$5:$D$9,0)),0)</f>
        <v>17</v>
      </c>
      <c r="H5" s="35" t="s">
        <v>247</v>
      </c>
      <c r="I5" s="35" t="s">
        <v>426</v>
      </c>
      <c r="J5" s="34" t="s">
        <v>433</v>
      </c>
      <c r="K5" s="35" t="str">
        <f aca="false">IF($I5="","No",IF(IFERROR(INDEX(Setup!$H$3:$H$62,MATCH($I5,Setup!$B$3:$B$62,0)),IFERROR(INDEX('App 1'!$H$3:$H$31,MATCH($I5,'App 1'!$B$3:$B$31,0)),IFERROR(INDEX('App 2'!$H$3:$H$11,MATCH($I5,'App 2'!$B$3:$B$11,0)),IFERROR(INDEX(Documentation!$H$3:$H$19,MATCH($I5,Documentation!$B$3:$B$19,0)),"Done"))))="Done","No","Yes"))</f>
        <v>Yes</v>
      </c>
      <c r="L5" s="36" t="str">
        <f aca="false">IF(AND($H5&lt;&gt;"Done",$K5="No"),ROW(),"")</f>
        <v/>
      </c>
    </row>
    <row r="6" customFormat="false" ht="40.5" hidden="false" customHeight="true" outlineLevel="0" collapsed="false">
      <c r="A6" s="34" t="s">
        <v>421</v>
      </c>
      <c r="B6" s="35" t="s">
        <v>434</v>
      </c>
      <c r="C6" s="34" t="s">
        <v>435</v>
      </c>
      <c r="D6" s="34" t="s">
        <v>436</v>
      </c>
      <c r="E6" s="36" t="n">
        <v>60</v>
      </c>
      <c r="F6" s="36" t="n">
        <v>4</v>
      </c>
      <c r="G6" s="36" t="n">
        <f aca="false">IFERROR(INDEX(Config!$E$5:$E$9,MATCH($F6,Config!$D$5:$D$9,0)),0)</f>
        <v>17</v>
      </c>
      <c r="H6" s="35" t="s">
        <v>247</v>
      </c>
      <c r="I6" s="35" t="s">
        <v>430</v>
      </c>
      <c r="J6" s="34" t="s">
        <v>437</v>
      </c>
      <c r="K6" s="35" t="str">
        <f aca="false">IF($I6="","No",IF(IFERROR(INDEX(Setup!$H$3:$H$62,MATCH($I6,Setup!$B$3:$B$62,0)),IFERROR(INDEX('App 1'!$H$3:$H$31,MATCH($I6,'App 1'!$B$3:$B$31,0)),IFERROR(INDEX('App 2'!$H$3:$H$11,MATCH($I6,'App 2'!$B$3:$B$11,0)),IFERROR(INDEX(Documentation!$H$3:$H$19,MATCH($I6,Documentation!$B$3:$B$19,0)),"Done"))))="Done","No","Yes"))</f>
        <v>Yes</v>
      </c>
      <c r="L6" s="36" t="str">
        <f aca="false">IF(AND($H6&lt;&gt;"Done",$K6="No"),ROW(),"")</f>
        <v/>
      </c>
    </row>
    <row r="7" customFormat="false" ht="40.5" hidden="false" customHeight="true" outlineLevel="0" collapsed="false">
      <c r="A7" s="34" t="s">
        <v>421</v>
      </c>
      <c r="B7" s="35" t="s">
        <v>438</v>
      </c>
      <c r="C7" s="34" t="s">
        <v>439</v>
      </c>
      <c r="D7" s="34" t="s">
        <v>440</v>
      </c>
      <c r="E7" s="36" t="n">
        <v>40</v>
      </c>
      <c r="F7" s="36" t="n">
        <v>2</v>
      </c>
      <c r="G7" s="36" t="n">
        <f aca="false">IFERROR(INDEX(Config!$E$5:$E$9,MATCH($F7,Config!$D$5:$D$9,0)),0)</f>
        <v>7</v>
      </c>
      <c r="H7" s="35" t="s">
        <v>247</v>
      </c>
      <c r="I7" s="35" t="s">
        <v>422</v>
      </c>
      <c r="J7" s="34" t="s">
        <v>441</v>
      </c>
      <c r="K7" s="35" t="str">
        <f aca="false">IF($I7="","No",IF(IFERROR(INDEX(Setup!$H$3:$H$62,MATCH($I7,Setup!$B$3:$B$62,0)),IFERROR(INDEX('App 1'!$H$3:$H$31,MATCH($I7,'App 1'!$B$3:$B$31,0)),IFERROR(INDEX('App 2'!$H$3:$H$11,MATCH($I7,'App 2'!$B$3:$B$11,0)),IFERROR(INDEX(Documentation!$H$3:$H$19,MATCH($I7,Documentation!$B$3:$B$19,0)),"Done"))))="Done","No","Yes"))</f>
        <v>Yes</v>
      </c>
      <c r="L7" s="36" t="str">
        <f aca="false">IF(AND($H7&lt;&gt;"Done",$K7="No"),ROW(),"")</f>
        <v/>
      </c>
    </row>
    <row r="8" customFormat="false" ht="40.5" hidden="false" customHeight="true" outlineLevel="0" collapsed="false">
      <c r="A8" s="34" t="s">
        <v>421</v>
      </c>
      <c r="B8" s="35" t="s">
        <v>442</v>
      </c>
      <c r="C8" s="34" t="s">
        <v>443</v>
      </c>
      <c r="D8" s="34" t="s">
        <v>444</v>
      </c>
      <c r="E8" s="36" t="n">
        <v>40</v>
      </c>
      <c r="F8" s="36" t="n">
        <v>3</v>
      </c>
      <c r="G8" s="36" t="n">
        <f aca="false">IFERROR(INDEX(Config!$E$5:$E$9,MATCH($F8,Config!$D$5:$D$9,0)),0)</f>
        <v>11</v>
      </c>
      <c r="H8" s="35" t="s">
        <v>247</v>
      </c>
      <c r="I8" s="35" t="s">
        <v>438</v>
      </c>
      <c r="J8" s="34" t="s">
        <v>445</v>
      </c>
      <c r="K8" s="35" t="str">
        <f aca="false">IF($I8="","No",IF(IFERROR(INDEX(Setup!$H$3:$H$62,MATCH($I8,Setup!$B$3:$B$62,0)),IFERROR(INDEX('App 1'!$H$3:$H$31,MATCH($I8,'App 1'!$B$3:$B$31,0)),IFERROR(INDEX('App 2'!$H$3:$H$11,MATCH($I8,'App 2'!$B$3:$B$11,0)),IFERROR(INDEX(Documentation!$H$3:$H$19,MATCH($I8,Documentation!$B$3:$B$19,0)),"Done"))))="Done","No","Yes"))</f>
        <v>Yes</v>
      </c>
      <c r="L8" s="36" t="str">
        <f aca="false">IF(AND($H8&lt;&gt;"Done",$K8="No"),ROW(),"")</f>
        <v/>
      </c>
    </row>
    <row r="9" customFormat="false" ht="40.5" hidden="false" customHeight="true" outlineLevel="0" collapsed="false">
      <c r="A9" s="34" t="s">
        <v>421</v>
      </c>
      <c r="B9" s="35" t="s">
        <v>446</v>
      </c>
      <c r="C9" s="34" t="s">
        <v>447</v>
      </c>
      <c r="D9" s="34" t="s">
        <v>448</v>
      </c>
      <c r="E9" s="36" t="n">
        <v>40</v>
      </c>
      <c r="F9" s="36" t="n">
        <v>2</v>
      </c>
      <c r="G9" s="36" t="n">
        <f aca="false">IFERROR(INDEX(Config!$E$5:$E$9,MATCH($F9,Config!$D$5:$D$9,0)),0)</f>
        <v>7</v>
      </c>
      <c r="H9" s="35" t="s">
        <v>247</v>
      </c>
      <c r="I9" s="35" t="s">
        <v>442</v>
      </c>
      <c r="J9" s="34" t="s">
        <v>449</v>
      </c>
      <c r="K9" s="35" t="str">
        <f aca="false">IF($I9="","No",IF(IFERROR(INDEX(Setup!$H$3:$H$62,MATCH($I9,Setup!$B$3:$B$62,0)),IFERROR(INDEX('App 1'!$H$3:$H$31,MATCH($I9,'App 1'!$B$3:$B$31,0)),IFERROR(INDEX('App 2'!$H$3:$H$11,MATCH($I9,'App 2'!$B$3:$B$11,0)),IFERROR(INDEX(Documentation!$H$3:$H$19,MATCH($I9,Documentation!$B$3:$B$19,0)),"Done"))))="Done","No","Yes"))</f>
        <v>Yes</v>
      </c>
      <c r="L9" s="36" t="str">
        <f aca="false">IF(AND($H9&lt;&gt;"Done",$K9="No"),ROW(),"")</f>
        <v/>
      </c>
    </row>
    <row r="10" customFormat="false" ht="40.5" hidden="false" customHeight="true" outlineLevel="0" collapsed="false">
      <c r="A10" s="34" t="s">
        <v>421</v>
      </c>
      <c r="B10" s="35" t="s">
        <v>450</v>
      </c>
      <c r="C10" s="34" t="s">
        <v>451</v>
      </c>
      <c r="D10" s="34" t="s">
        <v>452</v>
      </c>
      <c r="E10" s="36" t="n">
        <v>30</v>
      </c>
      <c r="F10" s="36" t="n">
        <v>2</v>
      </c>
      <c r="G10" s="36" t="n">
        <f aca="false">IFERROR(INDEX(Config!$E$5:$E$9,MATCH($F10,Config!$D$5:$D$9,0)),0)</f>
        <v>7</v>
      </c>
      <c r="H10" s="35" t="s">
        <v>247</v>
      </c>
      <c r="I10" s="35" t="s">
        <v>446</v>
      </c>
      <c r="J10" s="34"/>
      <c r="K10" s="35" t="str">
        <f aca="false">IF($I10="","No",IF(IFERROR(INDEX(Setup!$H$3:$H$62,MATCH($I10,Setup!$B$3:$B$62,0)),IFERROR(INDEX('App 1'!$H$3:$H$31,MATCH($I10,'App 1'!$B$3:$B$31,0)),IFERROR(INDEX('App 2'!$H$3:$H$11,MATCH($I10,'App 2'!$B$3:$B$11,0)),IFERROR(INDEX(Documentation!$H$3:$H$19,MATCH($I10,Documentation!$B$3:$B$19,0)),"Done"))))="Done","No","Yes"))</f>
        <v>Yes</v>
      </c>
      <c r="L10" s="36" t="str">
        <f aca="false">IF(AND($H10&lt;&gt;"Done",$K10="No"),ROW(),"")</f>
        <v/>
      </c>
    </row>
    <row r="11" customFormat="false" ht="40.5" hidden="false" customHeight="true" outlineLevel="0" collapsed="false">
      <c r="A11" s="34" t="s">
        <v>421</v>
      </c>
      <c r="B11" s="35" t="s">
        <v>453</v>
      </c>
      <c r="C11" s="34" t="s">
        <v>454</v>
      </c>
      <c r="D11" s="34" t="s">
        <v>455</v>
      </c>
      <c r="E11" s="36" t="n">
        <v>30</v>
      </c>
      <c r="F11" s="36" t="n">
        <v>2</v>
      </c>
      <c r="G11" s="36" t="n">
        <f aca="false">IFERROR(INDEX(Config!$E$5:$E$9,MATCH($F11,Config!$D$5:$D$9,0)),0)</f>
        <v>7</v>
      </c>
      <c r="H11" s="35" t="s">
        <v>247</v>
      </c>
      <c r="I11" s="35" t="s">
        <v>450</v>
      </c>
      <c r="J11" s="34" t="s">
        <v>456</v>
      </c>
      <c r="K11" s="35" t="str">
        <f aca="false">IF($I11="","No",IF(IFERROR(INDEX(Setup!$H$3:$H$62,MATCH($I11,Setup!$B$3:$B$62,0)),IFERROR(INDEX('App 1'!$H$3:$H$31,MATCH($I11,'App 1'!$B$3:$B$31,0)),IFERROR(INDEX('App 2'!$H$3:$H$11,MATCH($I11,'App 2'!$B$3:$B$11,0)),IFERROR(INDEX(Documentation!$H$3:$H$19,MATCH($I11,Documentation!$B$3:$B$19,0)),"Done"))))="Done","No","Yes"))</f>
        <v>Yes</v>
      </c>
      <c r="L11" s="36" t="str">
        <f aca="false">IF(AND($H11&lt;&gt;"Done",$K11="No"),ROW(),"")</f>
        <v/>
      </c>
    </row>
    <row r="12" customFormat="false" ht="15" hidden="false" customHeight="true" outlineLevel="0" collapsed="false">
      <c r="A12" s="2"/>
      <c r="B12" s="2"/>
      <c r="C12" s="2"/>
      <c r="D12" s="2"/>
      <c r="E12" s="2"/>
      <c r="F12" s="2"/>
      <c r="G12" s="2"/>
      <c r="H12" s="2"/>
      <c r="I12" s="2"/>
      <c r="J12" s="2"/>
      <c r="K12" s="2"/>
      <c r="L12" s="2"/>
    </row>
    <row r="13" customFormat="false" ht="15" hidden="false" customHeight="true" outlineLevel="0" collapsed="false">
      <c r="A13" s="2"/>
      <c r="B13" s="2"/>
      <c r="C13" s="2"/>
      <c r="D13" s="2"/>
      <c r="E13" s="2"/>
      <c r="F13" s="2"/>
      <c r="G13" s="2"/>
      <c r="H13" s="2"/>
      <c r="I13" s="2"/>
      <c r="J13" s="2"/>
      <c r="K13" s="2"/>
      <c r="L13" s="2"/>
    </row>
    <row r="14" customFormat="false" ht="15" hidden="false" customHeight="true" outlineLevel="0" collapsed="false">
      <c r="A14" s="2"/>
      <c r="B14" s="2"/>
      <c r="C14" s="2"/>
      <c r="D14" s="2"/>
      <c r="E14" s="2"/>
      <c r="F14" s="2"/>
      <c r="G14" s="2"/>
      <c r="H14" s="2"/>
      <c r="I14" s="2"/>
      <c r="J14" s="2"/>
      <c r="K14" s="2"/>
      <c r="L14" s="2"/>
    </row>
    <row r="15" customFormat="false" ht="15" hidden="false" customHeight="true" outlineLevel="0" collapsed="false">
      <c r="A15" s="2"/>
      <c r="B15" s="2"/>
      <c r="C15" s="2"/>
      <c r="D15" s="2"/>
      <c r="E15" s="2"/>
      <c r="F15" s="2"/>
      <c r="G15" s="2"/>
      <c r="H15" s="2"/>
      <c r="I15" s="2"/>
      <c r="J15" s="2"/>
      <c r="K15" s="2"/>
      <c r="L15" s="2"/>
    </row>
    <row r="16" customFormat="false" ht="15" hidden="false" customHeight="true" outlineLevel="0" collapsed="false">
      <c r="A16" s="2"/>
      <c r="B16" s="2"/>
      <c r="C16" s="2"/>
      <c r="D16" s="2"/>
      <c r="E16" s="2"/>
      <c r="F16" s="2"/>
      <c r="G16" s="2"/>
      <c r="H16" s="2"/>
      <c r="I16" s="2"/>
      <c r="J16" s="2"/>
      <c r="K16" s="2"/>
      <c r="L16" s="2"/>
    </row>
    <row r="17" customFormat="false" ht="15" hidden="false" customHeight="true" outlineLevel="0" collapsed="false">
      <c r="A17" s="2"/>
      <c r="B17" s="2"/>
      <c r="C17" s="2"/>
      <c r="D17" s="2"/>
      <c r="E17" s="2"/>
      <c r="F17" s="2"/>
      <c r="G17" s="2"/>
      <c r="H17" s="2"/>
      <c r="I17" s="2"/>
      <c r="J17" s="2"/>
      <c r="K17" s="2"/>
      <c r="L17" s="2"/>
    </row>
  </sheetData>
  <autoFilter ref="A2:L11"/>
  <mergeCells count="2">
    <mergeCell ref="A1:B1"/>
    <mergeCell ref="C1:J1"/>
  </mergeCells>
  <conditionalFormatting sqref="A3:L11">
    <cfRule type="expression" priority="2" aboveAverage="0" equalAverage="0" bottom="0" percent="0" rank="0" text="" dxfId="8">
      <formula>$H3="Done"</formula>
    </cfRule>
    <cfRule type="expression" priority="3" aboveAverage="0" equalAverage="0" bottom="0" percent="0" rank="0" text="" dxfId="9">
      <formula>$L3=MIN($L$3:$L$11)</formula>
    </cfRule>
    <cfRule type="expression" priority="4" aboveAverage="0" equalAverage="0" bottom="0" percent="0" rank="0" text="" dxfId="10">
      <formula>$H3="Blocked"</formula>
    </cfRule>
    <cfRule type="expression" priority="5" aboveAverage="0" equalAverage="0" bottom="0" percent="0" rank="0" text="" dxfId="11">
      <formula>$H3="In progress"</formula>
    </cfRule>
    <cfRule type="expression" priority="6" aboveAverage="0" equalAverage="0" bottom="0" percent="0" rank="0" text="" dxfId="12">
      <formula>$H3="Not started"</formula>
    </cfRule>
  </conditionalFormatting>
  <conditionalFormatting sqref="C3:C11">
    <cfRule type="expression" priority="7" aboveAverage="0" equalAverage="0" bottom="0" percent="0" rank="0" text="" dxfId="13">
      <formula>$H3="Done"</formula>
    </cfRule>
  </conditionalFormatting>
  <conditionalFormatting sqref="I3:I11">
    <cfRule type="expression" priority="8" aboveAverage="0" equalAverage="0" bottom="0" percent="0" rank="0" text="" dxfId="14">
      <formula>$K3="Yes"</formula>
    </cfRule>
  </conditionalFormatting>
  <conditionalFormatting sqref="K3:K11">
    <cfRule type="expression" priority="9" aboveAverage="0" equalAverage="0" bottom="0" percent="0" rank="0" text="" dxfId="14">
      <formula>$K3="Yes"</formula>
    </cfRule>
  </conditionalFormatting>
  <dataValidations count="4">
    <dataValidation allowBlank="true" error="Use the dropdown. Values live on the Config sheet." errorStyle="stop" errorTitle="Not a valid status" operator="between" prompt="Pick one: Not started, In progress, Blocked, Done.&#10;This one cell drives XP, level, badges, every progress bar and Next up." promptTitle="Status" showDropDown="false" showErrorMessage="true" showInputMessage="true" sqref="H3:H11" type="list">
      <formula1>Config!$B$5:$B$8</formula1>
      <formula2>0</formula2>
    </dataValidation>
    <dataValidation allowBlank="false" error="Whole numbers from 1 to 5 only." errorStyle="stop" errorTitle="Difficulty must be 1-5" operator="between" prompt="1 = mechanical, 5 = genuinely hard or high-consequence.&#10;Difficulty sets XP via the table on Config. Raise it if a task turns out harder than estimated - the XP follows automatically." promptTitle="Difficulty (1-5)" showDropDown="false" showErrorMessage="true" showInputMessage="true" sqref="F3:F11" type="whole">
      <formula1>1</formula1>
      <formula2>5</formula2>
    </dataValidation>
    <dataValidation allowBlank="false" error="Whole minutes between 5 and 240." errorStyle="stop" errorTitle="Out of range" operator="between" prompt="Your time, not the agents'. Whole minutes, 5 to 240.&#10;Everything here was scoped to 90 minutes or less - if a task needs more, split it into two rows instead of raising the number." promptTitle="Est. time (mins)" showDropDown="false" showErrorMessage="true" showInputMessage="true" sqref="E3:E11" type="whole">
      <formula1>5</formula1>
      <formula2>240</formula2>
    </dataValidation>
    <dataValidation allowBlank="true" error="Enter a single Task ID such as 3.7, or leave this blank." errorStyle="stop" errorTitle="One Task ID" operator="between" prompt="One Task ID, or leave blank. It may live on another track sheet - the lookup searches all four.&#10;Column K turns to Yes while that prerequisite is unfinished, and the row is skipped by Next up." promptTitle="Blocked by" showDropDown="false" showErrorMessage="true" showInputMessage="true" sqref="I3:I11" type="textLength">
      <formula1>0</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0"/>
    <col collapsed="false" customWidth="true" hidden="false" outlineLevel="0" max="3" min="3" style="1" width="46"/>
    <col collapsed="false" customWidth="true" hidden="false" outlineLevel="0" max="4" min="4" style="1" width="58"/>
    <col collapsed="false" customWidth="true" hidden="false" outlineLevel="0" max="6" min="5" style="1" width="12"/>
    <col collapsed="false" customWidth="true" hidden="false" outlineLevel="0" max="7" min="7" style="1" width="8"/>
    <col collapsed="false" customWidth="true" hidden="false" outlineLevel="0" max="8" min="8" style="1" width="15"/>
    <col collapsed="false" customWidth="true" hidden="false" outlineLevel="0" max="9" min="9" style="1" width="12"/>
    <col collapsed="false" customWidth="true" hidden="false" outlineLevel="0" max="10" min="10" style="1" width="74"/>
    <col collapsed="false" customWidth="true" hidden="false" outlineLevel="0" max="12" min="11" style="1" width="14"/>
  </cols>
  <sheetData>
    <row r="1" customFormat="false" ht="33.75" hidden="false" customHeight="true" outlineLevel="0" collapsed="false">
      <c r="A1" s="30" t="s">
        <v>457</v>
      </c>
      <c r="B1" s="30"/>
      <c r="C1" s="31" t="s">
        <v>37</v>
      </c>
      <c r="D1" s="31"/>
      <c r="E1" s="31"/>
      <c r="F1" s="31"/>
      <c r="G1" s="31"/>
      <c r="H1" s="31"/>
      <c r="I1" s="31"/>
      <c r="J1" s="31"/>
      <c r="K1" s="2"/>
      <c r="L1" s="2"/>
    </row>
    <row r="2" customFormat="false" ht="39.75" hidden="false" customHeight="true" outlineLevel="0" collapsed="false">
      <c r="A2" s="32" t="s">
        <v>26</v>
      </c>
      <c r="B2" s="33" t="s">
        <v>53</v>
      </c>
      <c r="C2" s="32" t="s">
        <v>54</v>
      </c>
      <c r="D2" s="32" t="s">
        <v>55</v>
      </c>
      <c r="E2" s="33" t="s">
        <v>56</v>
      </c>
      <c r="F2" s="33" t="s">
        <v>57</v>
      </c>
      <c r="G2" s="33" t="s">
        <v>58</v>
      </c>
      <c r="H2" s="33" t="s">
        <v>59</v>
      </c>
      <c r="I2" s="33" t="s">
        <v>60</v>
      </c>
      <c r="J2" s="32" t="s">
        <v>61</v>
      </c>
      <c r="K2" s="33" t="s">
        <v>62</v>
      </c>
      <c r="L2" s="33" t="s">
        <v>63</v>
      </c>
    </row>
    <row r="3" customFormat="false" ht="103.5" hidden="false" customHeight="true" outlineLevel="0" collapsed="false">
      <c r="A3" s="34" t="s">
        <v>458</v>
      </c>
      <c r="B3" s="35" t="s">
        <v>459</v>
      </c>
      <c r="C3" s="34" t="s">
        <v>460</v>
      </c>
      <c r="D3" s="34" t="s">
        <v>461</v>
      </c>
      <c r="E3" s="36" t="n">
        <v>20</v>
      </c>
      <c r="F3" s="36" t="n">
        <v>1</v>
      </c>
      <c r="G3" s="36" t="n">
        <f aca="false">IFERROR(INDEX(Config!$E$5:$E$9,MATCH($F3,Config!$D$5:$D$9,0)),0)</f>
        <v>4</v>
      </c>
      <c r="H3" s="35" t="s">
        <v>247</v>
      </c>
      <c r="I3" s="35" t="s">
        <v>375</v>
      </c>
      <c r="J3" s="34" t="s">
        <v>462</v>
      </c>
      <c r="K3" s="35" t="str">
        <f aca="false">IF($I3="","No",IF(IFERROR(INDEX(Setup!$H$3:$H$62,MATCH($I3,Setup!$B$3:$B$62,0)),IFERROR(INDEX('App 1'!$H$3:$H$31,MATCH($I3,'App 1'!$B$3:$B$31,0)),IFERROR(INDEX('App 2'!$H$3:$H$11,MATCH($I3,'App 2'!$B$3:$B$11,0)),IFERROR(INDEX(Documentation!$H$3:$H$19,MATCH($I3,Documentation!$B$3:$B$19,0)),"Done"))))="Done","No","Yes"))</f>
        <v>Yes</v>
      </c>
      <c r="L3" s="36" t="str">
        <f aca="false">IF(AND($H3&lt;&gt;"Done",$K3="No"),ROW(),"")</f>
        <v/>
      </c>
    </row>
    <row r="4" customFormat="false" ht="103.5" hidden="false" customHeight="true" outlineLevel="0" collapsed="false">
      <c r="A4" s="34" t="s">
        <v>458</v>
      </c>
      <c r="B4" s="35" t="s">
        <v>463</v>
      </c>
      <c r="C4" s="34" t="s">
        <v>464</v>
      </c>
      <c r="D4" s="34" t="s">
        <v>465</v>
      </c>
      <c r="E4" s="36" t="n">
        <v>50</v>
      </c>
      <c r="F4" s="36" t="n">
        <v>3</v>
      </c>
      <c r="G4" s="36" t="n">
        <f aca="false">IFERROR(INDEX(Config!$E$5:$E$9,MATCH($F4,Config!$D$5:$D$9,0)),0)</f>
        <v>11</v>
      </c>
      <c r="H4" s="35" t="s">
        <v>247</v>
      </c>
      <c r="I4" s="35" t="s">
        <v>459</v>
      </c>
      <c r="J4" s="34" t="s">
        <v>462</v>
      </c>
      <c r="K4" s="35" t="str">
        <f aca="false">IF($I4="","No",IF(IFERROR(INDEX(Setup!$H$3:$H$62,MATCH($I4,Setup!$B$3:$B$62,0)),IFERROR(INDEX('App 1'!$H$3:$H$31,MATCH($I4,'App 1'!$B$3:$B$31,0)),IFERROR(INDEX('App 2'!$H$3:$H$11,MATCH($I4,'App 2'!$B$3:$B$11,0)),IFERROR(INDEX(Documentation!$H$3:$H$19,MATCH($I4,Documentation!$B$3:$B$19,0)),"Done"))))="Done","No","Yes"))</f>
        <v>Yes</v>
      </c>
      <c r="L4" s="36" t="str">
        <f aca="false">IF(AND($H4&lt;&gt;"Done",$K4="No"),ROW(),"")</f>
        <v/>
      </c>
    </row>
    <row r="5" customFormat="false" ht="118.5" hidden="false" customHeight="true" outlineLevel="0" collapsed="false">
      <c r="A5" s="34" t="s">
        <v>458</v>
      </c>
      <c r="B5" s="35" t="s">
        <v>466</v>
      </c>
      <c r="C5" s="34" t="s">
        <v>467</v>
      </c>
      <c r="D5" s="34" t="s">
        <v>468</v>
      </c>
      <c r="E5" s="36" t="n">
        <v>75</v>
      </c>
      <c r="F5" s="36" t="n">
        <v>4</v>
      </c>
      <c r="G5" s="36" t="n">
        <f aca="false">IFERROR(INDEX(Config!$E$5:$E$9,MATCH($F5,Config!$D$5:$D$9,0)),0)</f>
        <v>17</v>
      </c>
      <c r="H5" s="35" t="s">
        <v>247</v>
      </c>
      <c r="I5" s="35" t="s">
        <v>459</v>
      </c>
      <c r="J5" s="34" t="s">
        <v>469</v>
      </c>
      <c r="K5" s="35" t="str">
        <f aca="false">IF($I5="","No",IF(IFERROR(INDEX(Setup!$H$3:$H$62,MATCH($I5,Setup!$B$3:$B$62,0)),IFERROR(INDEX('App 1'!$H$3:$H$31,MATCH($I5,'App 1'!$B$3:$B$31,0)),IFERROR(INDEX('App 2'!$H$3:$H$11,MATCH($I5,'App 2'!$B$3:$B$11,0)),IFERROR(INDEX(Documentation!$H$3:$H$19,MATCH($I5,Documentation!$B$3:$B$19,0)),"Done"))))="Done","No","Yes"))</f>
        <v>Yes</v>
      </c>
      <c r="L5" s="36" t="str">
        <f aca="false">IF(AND($H5&lt;&gt;"Done",$K5="No"),ROW(),"")</f>
        <v/>
      </c>
    </row>
    <row r="6" customFormat="false" ht="103.5" hidden="false" customHeight="true" outlineLevel="0" collapsed="false">
      <c r="A6" s="34" t="s">
        <v>458</v>
      </c>
      <c r="B6" s="35" t="s">
        <v>470</v>
      </c>
      <c r="C6" s="34" t="s">
        <v>471</v>
      </c>
      <c r="D6" s="34" t="s">
        <v>472</v>
      </c>
      <c r="E6" s="36" t="n">
        <v>50</v>
      </c>
      <c r="F6" s="36" t="n">
        <v>3</v>
      </c>
      <c r="G6" s="36" t="n">
        <f aca="false">IFERROR(INDEX(Config!$E$5:$E$9,MATCH($F6,Config!$D$5:$D$9,0)),0)</f>
        <v>11</v>
      </c>
      <c r="H6" s="35" t="s">
        <v>247</v>
      </c>
      <c r="I6" s="35" t="s">
        <v>426</v>
      </c>
      <c r="J6" s="34" t="s">
        <v>473</v>
      </c>
      <c r="K6" s="35" t="str">
        <f aca="false">IF($I6="","No",IF(IFERROR(INDEX(Setup!$H$3:$H$62,MATCH($I6,Setup!$B$3:$B$62,0)),IFERROR(INDEX('App 1'!$H$3:$H$31,MATCH($I6,'App 1'!$B$3:$B$31,0)),IFERROR(INDEX('App 2'!$H$3:$H$11,MATCH($I6,'App 2'!$B$3:$B$11,0)),IFERROR(INDEX(Documentation!$H$3:$H$19,MATCH($I6,Documentation!$B$3:$B$19,0)),"Done"))))="Done","No","Yes"))</f>
        <v>Yes</v>
      </c>
      <c r="L6" s="36" t="str">
        <f aca="false">IF(AND($H6&lt;&gt;"Done",$K6="No"),ROW(),"")</f>
        <v/>
      </c>
    </row>
    <row r="7" customFormat="false" ht="103.5" hidden="false" customHeight="true" outlineLevel="0" collapsed="false">
      <c r="A7" s="34" t="s">
        <v>458</v>
      </c>
      <c r="B7" s="35" t="s">
        <v>474</v>
      </c>
      <c r="C7" s="34" t="s">
        <v>475</v>
      </c>
      <c r="D7" s="34" t="s">
        <v>476</v>
      </c>
      <c r="E7" s="36" t="n">
        <v>45</v>
      </c>
      <c r="F7" s="36" t="n">
        <v>3</v>
      </c>
      <c r="G7" s="36" t="n">
        <f aca="false">IFERROR(INDEX(Config!$E$5:$E$9,MATCH($F7,Config!$D$5:$D$9,0)),0)</f>
        <v>11</v>
      </c>
      <c r="H7" s="35" t="s">
        <v>247</v>
      </c>
      <c r="I7" s="35" t="s">
        <v>459</v>
      </c>
      <c r="J7" s="34" t="s">
        <v>462</v>
      </c>
      <c r="K7" s="35" t="str">
        <f aca="false">IF($I7="","No",IF(IFERROR(INDEX(Setup!$H$3:$H$62,MATCH($I7,Setup!$B$3:$B$62,0)),IFERROR(INDEX('App 1'!$H$3:$H$31,MATCH($I7,'App 1'!$B$3:$B$31,0)),IFERROR(INDEX('App 2'!$H$3:$H$11,MATCH($I7,'App 2'!$B$3:$B$11,0)),IFERROR(INDEX(Documentation!$H$3:$H$19,MATCH($I7,Documentation!$B$3:$B$19,0)),"Done"))))="Done","No","Yes"))</f>
        <v>Yes</v>
      </c>
      <c r="L7" s="36" t="str">
        <f aca="false">IF(AND($H7&lt;&gt;"Done",$K7="No"),ROW(),"")</f>
        <v/>
      </c>
    </row>
    <row r="8" customFormat="false" ht="103.5" hidden="false" customHeight="true" outlineLevel="0" collapsed="false">
      <c r="A8" s="34" t="s">
        <v>458</v>
      </c>
      <c r="B8" s="35" t="s">
        <v>477</v>
      </c>
      <c r="C8" s="34" t="s">
        <v>478</v>
      </c>
      <c r="D8" s="34" t="s">
        <v>479</v>
      </c>
      <c r="E8" s="36" t="n">
        <v>45</v>
      </c>
      <c r="F8" s="36" t="n">
        <v>3</v>
      </c>
      <c r="G8" s="36" t="n">
        <f aca="false">IFERROR(INDEX(Config!$E$5:$E$9,MATCH($F8,Config!$D$5:$D$9,0)),0)</f>
        <v>11</v>
      </c>
      <c r="H8" s="35" t="s">
        <v>247</v>
      </c>
      <c r="I8" s="35" t="s">
        <v>459</v>
      </c>
      <c r="J8" s="34" t="s">
        <v>462</v>
      </c>
      <c r="K8" s="35" t="str">
        <f aca="false">IF($I8="","No",IF(IFERROR(INDEX(Setup!$H$3:$H$62,MATCH($I8,Setup!$B$3:$B$62,0)),IFERROR(INDEX('App 1'!$H$3:$H$31,MATCH($I8,'App 1'!$B$3:$B$31,0)),IFERROR(INDEX('App 2'!$H$3:$H$11,MATCH($I8,'App 2'!$B$3:$B$11,0)),IFERROR(INDEX(Documentation!$H$3:$H$19,MATCH($I8,Documentation!$B$3:$B$19,0)),"Done"))))="Done","No","Yes"))</f>
        <v>Yes</v>
      </c>
      <c r="L8" s="36" t="str">
        <f aca="false">IF(AND($H8&lt;&gt;"Done",$K8="No"),ROW(),"")</f>
        <v/>
      </c>
    </row>
    <row r="9" customFormat="false" ht="118.5" hidden="false" customHeight="true" outlineLevel="0" collapsed="false">
      <c r="A9" s="34" t="s">
        <v>458</v>
      </c>
      <c r="B9" s="35" t="s">
        <v>480</v>
      </c>
      <c r="C9" s="34" t="s">
        <v>481</v>
      </c>
      <c r="D9" s="34" t="s">
        <v>482</v>
      </c>
      <c r="E9" s="36" t="n">
        <v>40</v>
      </c>
      <c r="F9" s="36" t="n">
        <v>3</v>
      </c>
      <c r="G9" s="36" t="n">
        <f aca="false">IFERROR(INDEX(Config!$E$5:$E$9,MATCH($F9,Config!$D$5:$D$9,0)),0)</f>
        <v>11</v>
      </c>
      <c r="H9" s="35" t="s">
        <v>247</v>
      </c>
      <c r="I9" s="35" t="s">
        <v>477</v>
      </c>
      <c r="J9" s="34" t="s">
        <v>483</v>
      </c>
      <c r="K9" s="35" t="str">
        <f aca="false">IF($I9="","No",IF(IFERROR(INDEX(Setup!$H$3:$H$62,MATCH($I9,Setup!$B$3:$B$62,0)),IFERROR(INDEX('App 1'!$H$3:$H$31,MATCH($I9,'App 1'!$B$3:$B$31,0)),IFERROR(INDEX('App 2'!$H$3:$H$11,MATCH($I9,'App 2'!$B$3:$B$11,0)),IFERROR(INDEX(Documentation!$H$3:$H$19,MATCH($I9,Documentation!$B$3:$B$19,0)),"Done"))))="Done","No","Yes"))</f>
        <v>Yes</v>
      </c>
      <c r="L9" s="36" t="str">
        <f aca="false">IF(AND($H9&lt;&gt;"Done",$K9="No"),ROW(),"")</f>
        <v/>
      </c>
    </row>
    <row r="10" customFormat="false" ht="103.5" hidden="false" customHeight="true" outlineLevel="0" collapsed="false">
      <c r="A10" s="34" t="s">
        <v>458</v>
      </c>
      <c r="B10" s="35" t="s">
        <v>484</v>
      </c>
      <c r="C10" s="34" t="s">
        <v>485</v>
      </c>
      <c r="D10" s="34" t="s">
        <v>486</v>
      </c>
      <c r="E10" s="36" t="n">
        <v>20</v>
      </c>
      <c r="F10" s="36" t="n">
        <v>1</v>
      </c>
      <c r="G10" s="36" t="n">
        <f aca="false">IFERROR(INDEX(Config!$E$5:$E$9,MATCH($F10,Config!$D$5:$D$9,0)),0)</f>
        <v>4</v>
      </c>
      <c r="H10" s="35" t="s">
        <v>247</v>
      </c>
      <c r="I10" s="35" t="s">
        <v>480</v>
      </c>
      <c r="J10" s="34" t="s">
        <v>462</v>
      </c>
      <c r="K10" s="35" t="str">
        <f aca="false">IF($I10="","No",IF(IFERROR(INDEX(Setup!$H$3:$H$62,MATCH($I10,Setup!$B$3:$B$62,0)),IFERROR(INDEX('App 1'!$H$3:$H$31,MATCH($I10,'App 1'!$B$3:$B$31,0)),IFERROR(INDEX('App 2'!$H$3:$H$11,MATCH($I10,'App 2'!$B$3:$B$11,0)),IFERROR(INDEX(Documentation!$H$3:$H$19,MATCH($I10,Documentation!$B$3:$B$19,0)),"Done"))))="Done","No","Yes"))</f>
        <v>Yes</v>
      </c>
      <c r="L10" s="36" t="str">
        <f aca="false">IF(AND($H10&lt;&gt;"Done",$K10="No"),ROW(),"")</f>
        <v/>
      </c>
    </row>
    <row r="11" customFormat="false" ht="87.75" hidden="false" customHeight="true" outlineLevel="0" collapsed="false">
      <c r="A11" s="34" t="s">
        <v>487</v>
      </c>
      <c r="B11" s="35" t="s">
        <v>488</v>
      </c>
      <c r="C11" s="34" t="s">
        <v>489</v>
      </c>
      <c r="D11" s="34" t="s">
        <v>490</v>
      </c>
      <c r="E11" s="36" t="n">
        <v>45</v>
      </c>
      <c r="F11" s="36" t="n">
        <v>3</v>
      </c>
      <c r="G11" s="36" t="n">
        <f aca="false">IFERROR(INDEX(Config!$E$5:$E$9,MATCH($F11,Config!$D$5:$D$9,0)),0)</f>
        <v>11</v>
      </c>
      <c r="H11" s="35" t="s">
        <v>247</v>
      </c>
      <c r="I11" s="35" t="s">
        <v>375</v>
      </c>
      <c r="J11" s="34" t="s">
        <v>491</v>
      </c>
      <c r="K11" s="35" t="str">
        <f aca="false">IF($I11="","No",IF(IFERROR(INDEX(Setup!$H$3:$H$62,MATCH($I11,Setup!$B$3:$B$62,0)),IFERROR(INDEX('App 1'!$H$3:$H$31,MATCH($I11,'App 1'!$B$3:$B$31,0)),IFERROR(INDEX('App 2'!$H$3:$H$11,MATCH($I11,'App 2'!$B$3:$B$11,0)),IFERROR(INDEX(Documentation!$H$3:$H$19,MATCH($I11,Documentation!$B$3:$B$19,0)),"Done"))))="Done","No","Yes"))</f>
        <v>Yes</v>
      </c>
      <c r="L11" s="36" t="str">
        <f aca="false">IF(AND($H11&lt;&gt;"Done",$K11="No"),ROW(),"")</f>
        <v/>
      </c>
    </row>
    <row r="12" customFormat="false" ht="103.5" hidden="false" customHeight="true" outlineLevel="0" collapsed="false">
      <c r="A12" s="34" t="s">
        <v>487</v>
      </c>
      <c r="B12" s="35" t="s">
        <v>492</v>
      </c>
      <c r="C12" s="34" t="s">
        <v>493</v>
      </c>
      <c r="D12" s="34" t="s">
        <v>494</v>
      </c>
      <c r="E12" s="36" t="n">
        <v>60</v>
      </c>
      <c r="F12" s="36" t="n">
        <v>4</v>
      </c>
      <c r="G12" s="36" t="n">
        <f aca="false">IFERROR(INDEX(Config!$E$5:$E$9,MATCH($F12,Config!$D$5:$D$9,0)),0)</f>
        <v>17</v>
      </c>
      <c r="H12" s="35" t="s">
        <v>247</v>
      </c>
      <c r="I12" s="35" t="s">
        <v>488</v>
      </c>
      <c r="J12" s="34" t="s">
        <v>495</v>
      </c>
      <c r="K12" s="35" t="str">
        <f aca="false">IF($I12="","No",IF(IFERROR(INDEX(Setup!$H$3:$H$62,MATCH($I12,Setup!$B$3:$B$62,0)),IFERROR(INDEX('App 1'!$H$3:$H$31,MATCH($I12,'App 1'!$B$3:$B$31,0)),IFERROR(INDEX('App 2'!$H$3:$H$11,MATCH($I12,'App 2'!$B$3:$B$11,0)),IFERROR(INDEX(Documentation!$H$3:$H$19,MATCH($I12,Documentation!$B$3:$B$19,0)),"Done"))))="Done","No","Yes"))</f>
        <v>Yes</v>
      </c>
      <c r="L12" s="36" t="str">
        <f aca="false">IF(AND($H12&lt;&gt;"Done",$K12="No"),ROW(),"")</f>
        <v/>
      </c>
    </row>
    <row r="13" customFormat="false" ht="87.75" hidden="false" customHeight="true" outlineLevel="0" collapsed="false">
      <c r="A13" s="34" t="s">
        <v>487</v>
      </c>
      <c r="B13" s="35" t="s">
        <v>496</v>
      </c>
      <c r="C13" s="34" t="s">
        <v>497</v>
      </c>
      <c r="D13" s="34" t="s">
        <v>498</v>
      </c>
      <c r="E13" s="36" t="n">
        <v>60</v>
      </c>
      <c r="F13" s="36" t="n">
        <v>3</v>
      </c>
      <c r="G13" s="36" t="n">
        <f aca="false">IFERROR(INDEX(Config!$E$5:$E$9,MATCH($F13,Config!$D$5:$D$9,0)),0)</f>
        <v>11</v>
      </c>
      <c r="H13" s="35" t="s">
        <v>247</v>
      </c>
      <c r="I13" s="35" t="s">
        <v>492</v>
      </c>
      <c r="J13" s="34" t="s">
        <v>491</v>
      </c>
      <c r="K13" s="35" t="str">
        <f aca="false">IF($I13="","No",IF(IFERROR(INDEX(Setup!$H$3:$H$62,MATCH($I13,Setup!$B$3:$B$62,0)),IFERROR(INDEX('App 1'!$H$3:$H$31,MATCH($I13,'App 1'!$B$3:$B$31,0)),IFERROR(INDEX('App 2'!$H$3:$H$11,MATCH($I13,'App 2'!$B$3:$B$11,0)),IFERROR(INDEX(Documentation!$H$3:$H$19,MATCH($I13,Documentation!$B$3:$B$19,0)),"Done"))))="Done","No","Yes"))</f>
        <v>Yes</v>
      </c>
      <c r="L13" s="36" t="str">
        <f aca="false">IF(AND($H13&lt;&gt;"Done",$K13="No"),ROW(),"")</f>
        <v/>
      </c>
    </row>
    <row r="14" customFormat="false" ht="87.75" hidden="false" customHeight="true" outlineLevel="0" collapsed="false">
      <c r="A14" s="34" t="s">
        <v>487</v>
      </c>
      <c r="B14" s="35" t="s">
        <v>499</v>
      </c>
      <c r="C14" s="34" t="s">
        <v>500</v>
      </c>
      <c r="D14" s="34" t="s">
        <v>501</v>
      </c>
      <c r="E14" s="36" t="n">
        <v>40</v>
      </c>
      <c r="F14" s="36" t="n">
        <v>2</v>
      </c>
      <c r="G14" s="36" t="n">
        <f aca="false">IFERROR(INDEX(Config!$E$5:$E$9,MATCH($F14,Config!$D$5:$D$9,0)),0)</f>
        <v>7</v>
      </c>
      <c r="H14" s="35" t="s">
        <v>247</v>
      </c>
      <c r="I14" s="35" t="s">
        <v>488</v>
      </c>
      <c r="J14" s="34" t="s">
        <v>491</v>
      </c>
      <c r="K14" s="35" t="str">
        <f aca="false">IF($I14="","No",IF(IFERROR(INDEX(Setup!$H$3:$H$62,MATCH($I14,Setup!$B$3:$B$62,0)),IFERROR(INDEX('App 1'!$H$3:$H$31,MATCH($I14,'App 1'!$B$3:$B$31,0)),IFERROR(INDEX('App 2'!$H$3:$H$11,MATCH($I14,'App 2'!$B$3:$B$11,0)),IFERROR(INDEX(Documentation!$H$3:$H$19,MATCH($I14,Documentation!$B$3:$B$19,0)),"Done"))))="Done","No","Yes"))</f>
        <v>Yes</v>
      </c>
      <c r="L14" s="36" t="str">
        <f aca="false">IF(AND($H14&lt;&gt;"Done",$K14="No"),ROW(),"")</f>
        <v/>
      </c>
    </row>
    <row r="15" customFormat="false" ht="103.5" hidden="false" customHeight="true" outlineLevel="0" collapsed="false">
      <c r="A15" s="34" t="s">
        <v>487</v>
      </c>
      <c r="B15" s="35" t="s">
        <v>502</v>
      </c>
      <c r="C15" s="34" t="s">
        <v>503</v>
      </c>
      <c r="D15" s="34" t="s">
        <v>504</v>
      </c>
      <c r="E15" s="36" t="n">
        <v>50</v>
      </c>
      <c r="F15" s="36" t="n">
        <v>3</v>
      </c>
      <c r="G15" s="36" t="n">
        <f aca="false">IFERROR(INDEX(Config!$E$5:$E$9,MATCH($F15,Config!$D$5:$D$9,0)),0)</f>
        <v>11</v>
      </c>
      <c r="H15" s="35" t="s">
        <v>247</v>
      </c>
      <c r="I15" s="35" t="s">
        <v>488</v>
      </c>
      <c r="J15" s="34" t="s">
        <v>505</v>
      </c>
      <c r="K15" s="35" t="str">
        <f aca="false">IF($I15="","No",IF(IFERROR(INDEX(Setup!$H$3:$H$62,MATCH($I15,Setup!$B$3:$B$62,0)),IFERROR(INDEX('App 1'!$H$3:$H$31,MATCH($I15,'App 1'!$B$3:$B$31,0)),IFERROR(INDEX('App 2'!$H$3:$H$11,MATCH($I15,'App 2'!$B$3:$B$11,0)),IFERROR(INDEX(Documentation!$H$3:$H$19,MATCH($I15,Documentation!$B$3:$B$19,0)),"Done"))))="Done","No","Yes"))</f>
        <v>Yes</v>
      </c>
      <c r="L15" s="36" t="str">
        <f aca="false">IF(AND($H15&lt;&gt;"Done",$K15="No"),ROW(),"")</f>
        <v/>
      </c>
    </row>
    <row r="16" customFormat="false" ht="87.75" hidden="false" customHeight="true" outlineLevel="0" collapsed="false">
      <c r="A16" s="34" t="s">
        <v>487</v>
      </c>
      <c r="B16" s="35" t="s">
        <v>506</v>
      </c>
      <c r="C16" s="34" t="s">
        <v>507</v>
      </c>
      <c r="D16" s="34" t="s">
        <v>508</v>
      </c>
      <c r="E16" s="36" t="n">
        <v>35</v>
      </c>
      <c r="F16" s="36" t="n">
        <v>2</v>
      </c>
      <c r="G16" s="36" t="n">
        <f aca="false">IFERROR(INDEX(Config!$E$5:$E$9,MATCH($F16,Config!$D$5:$D$9,0)),0)</f>
        <v>7</v>
      </c>
      <c r="H16" s="35" t="s">
        <v>247</v>
      </c>
      <c r="I16" s="35" t="s">
        <v>488</v>
      </c>
      <c r="J16" s="34" t="s">
        <v>491</v>
      </c>
      <c r="K16" s="35" t="str">
        <f aca="false">IF($I16="","No",IF(IFERROR(INDEX(Setup!$H$3:$H$62,MATCH($I16,Setup!$B$3:$B$62,0)),IFERROR(INDEX('App 1'!$H$3:$H$31,MATCH($I16,'App 1'!$B$3:$B$31,0)),IFERROR(INDEX('App 2'!$H$3:$H$11,MATCH($I16,'App 2'!$B$3:$B$11,0)),IFERROR(INDEX(Documentation!$H$3:$H$19,MATCH($I16,Documentation!$B$3:$B$19,0)),"Done"))))="Done","No","Yes"))</f>
        <v>Yes</v>
      </c>
      <c r="L16" s="36" t="str">
        <f aca="false">IF(AND($H16&lt;&gt;"Done",$K16="No"),ROW(),"")</f>
        <v/>
      </c>
    </row>
    <row r="17" customFormat="false" ht="103.5" hidden="false" customHeight="true" outlineLevel="0" collapsed="false">
      <c r="A17" s="34" t="s">
        <v>487</v>
      </c>
      <c r="B17" s="35" t="s">
        <v>509</v>
      </c>
      <c r="C17" s="34" t="s">
        <v>510</v>
      </c>
      <c r="D17" s="34" t="s">
        <v>511</v>
      </c>
      <c r="E17" s="36" t="n">
        <v>60</v>
      </c>
      <c r="F17" s="36" t="n">
        <v>4</v>
      </c>
      <c r="G17" s="36" t="n">
        <f aca="false">IFERROR(INDEX(Config!$E$5:$E$9,MATCH($F17,Config!$D$5:$D$9,0)),0)</f>
        <v>17</v>
      </c>
      <c r="H17" s="35" t="s">
        <v>247</v>
      </c>
      <c r="I17" s="35" t="s">
        <v>506</v>
      </c>
      <c r="J17" s="34" t="s">
        <v>512</v>
      </c>
      <c r="K17" s="35" t="str">
        <f aca="false">IF($I17="","No",IF(IFERROR(INDEX(Setup!$H$3:$H$62,MATCH($I17,Setup!$B$3:$B$62,0)),IFERROR(INDEX('App 1'!$H$3:$H$31,MATCH($I17,'App 1'!$B$3:$B$31,0)),IFERROR(INDEX('App 2'!$H$3:$H$11,MATCH($I17,'App 2'!$B$3:$B$11,0)),IFERROR(INDEX(Documentation!$H$3:$H$19,MATCH($I17,Documentation!$B$3:$B$19,0)),"Done"))))="Done","No","Yes"))</f>
        <v>Yes</v>
      </c>
      <c r="L17" s="36" t="str">
        <f aca="false">IF(AND($H17&lt;&gt;"Done",$K17="No"),ROW(),"")</f>
        <v/>
      </c>
    </row>
    <row r="18" customFormat="false" ht="103.5" hidden="false" customHeight="true" outlineLevel="0" collapsed="false">
      <c r="A18" s="34" t="s">
        <v>487</v>
      </c>
      <c r="B18" s="35" t="s">
        <v>513</v>
      </c>
      <c r="C18" s="34" t="s">
        <v>514</v>
      </c>
      <c r="D18" s="34" t="s">
        <v>515</v>
      </c>
      <c r="E18" s="36" t="n">
        <v>40</v>
      </c>
      <c r="F18" s="36" t="n">
        <v>3</v>
      </c>
      <c r="G18" s="36" t="n">
        <f aca="false">IFERROR(INDEX(Config!$E$5:$E$9,MATCH($F18,Config!$D$5:$D$9,0)),0)</f>
        <v>11</v>
      </c>
      <c r="H18" s="35" t="s">
        <v>247</v>
      </c>
      <c r="I18" s="35" t="s">
        <v>509</v>
      </c>
      <c r="J18" s="34" t="s">
        <v>516</v>
      </c>
      <c r="K18" s="35" t="str">
        <f aca="false">IF($I18="","No",IF(IFERROR(INDEX(Setup!$H$3:$H$62,MATCH($I18,Setup!$B$3:$B$62,0)),IFERROR(INDEX('App 1'!$H$3:$H$31,MATCH($I18,'App 1'!$B$3:$B$31,0)),IFERROR(INDEX('App 2'!$H$3:$H$11,MATCH($I18,'App 2'!$B$3:$B$11,0)),IFERROR(INDEX(Documentation!$H$3:$H$19,MATCH($I18,Documentation!$B$3:$B$19,0)),"Done"))))="Done","No","Yes"))</f>
        <v>Yes</v>
      </c>
      <c r="L18" s="36" t="str">
        <f aca="false">IF(AND($H18&lt;&gt;"Done",$K18="No"),ROW(),"")</f>
        <v/>
      </c>
    </row>
    <row r="19" customFormat="false" ht="87.75" hidden="false" customHeight="true" outlineLevel="0" collapsed="false">
      <c r="A19" s="34" t="s">
        <v>487</v>
      </c>
      <c r="B19" s="35" t="s">
        <v>517</v>
      </c>
      <c r="C19" s="34" t="s">
        <v>518</v>
      </c>
      <c r="D19" s="34" t="s">
        <v>519</v>
      </c>
      <c r="E19" s="36" t="n">
        <v>30</v>
      </c>
      <c r="F19" s="36" t="n">
        <v>2</v>
      </c>
      <c r="G19" s="36" t="n">
        <f aca="false">IFERROR(INDEX(Config!$E$5:$E$9,MATCH($F19,Config!$D$5:$D$9,0)),0)</f>
        <v>7</v>
      </c>
      <c r="H19" s="35" t="s">
        <v>247</v>
      </c>
      <c r="I19" s="35" t="s">
        <v>513</v>
      </c>
      <c r="J19" s="34" t="s">
        <v>491</v>
      </c>
      <c r="K19" s="35" t="str">
        <f aca="false">IF($I19="","No",IF(IFERROR(INDEX(Setup!$H$3:$H$62,MATCH($I19,Setup!$B$3:$B$62,0)),IFERROR(INDEX('App 1'!$H$3:$H$31,MATCH($I19,'App 1'!$B$3:$B$31,0)),IFERROR(INDEX('App 2'!$H$3:$H$11,MATCH($I19,'App 2'!$B$3:$B$11,0)),IFERROR(INDEX(Documentation!$H$3:$H$19,MATCH($I19,Documentation!$B$3:$B$19,0)),"Done"))))="Done","No","Yes"))</f>
        <v>Yes</v>
      </c>
      <c r="L19" s="36" t="str">
        <f aca="false">IF(AND($H19&lt;&gt;"Done",$K19="No"),ROW(),"")</f>
        <v/>
      </c>
    </row>
    <row r="20" customFormat="false" ht="15" hidden="false" customHeight="true" outlineLevel="0" collapsed="false">
      <c r="A20" s="2"/>
      <c r="B20" s="2"/>
      <c r="C20" s="2"/>
      <c r="D20" s="2"/>
      <c r="E20" s="2"/>
      <c r="F20" s="2"/>
      <c r="G20" s="2"/>
      <c r="H20" s="2"/>
      <c r="I20" s="2"/>
      <c r="J20" s="2"/>
      <c r="K20" s="2"/>
      <c r="L20" s="2"/>
    </row>
    <row r="21" customFormat="false" ht="15" hidden="false" customHeight="true" outlineLevel="0" collapsed="false">
      <c r="A21" s="2"/>
      <c r="B21" s="2"/>
      <c r="C21" s="2"/>
      <c r="D21" s="2"/>
      <c r="E21" s="2"/>
      <c r="F21" s="2"/>
      <c r="G21" s="2"/>
      <c r="H21" s="2"/>
      <c r="I21" s="2"/>
      <c r="J21" s="2"/>
      <c r="K21" s="2"/>
      <c r="L21" s="2"/>
    </row>
    <row r="22" customFormat="false" ht="15" hidden="false" customHeight="true" outlineLevel="0" collapsed="false">
      <c r="A22" s="2"/>
      <c r="B22" s="2"/>
      <c r="C22" s="2"/>
      <c r="D22" s="2"/>
      <c r="E22" s="2"/>
      <c r="F22" s="2"/>
      <c r="G22" s="2"/>
      <c r="H22" s="2"/>
      <c r="I22" s="2"/>
      <c r="J22" s="2"/>
      <c r="K22" s="2"/>
      <c r="L22" s="2"/>
    </row>
    <row r="23" customFormat="false" ht="15" hidden="false" customHeight="true" outlineLevel="0" collapsed="false">
      <c r="A23" s="2"/>
      <c r="B23" s="2"/>
      <c r="C23" s="2"/>
      <c r="D23" s="2"/>
      <c r="E23" s="2"/>
      <c r="F23" s="2"/>
      <c r="G23" s="2"/>
      <c r="H23" s="2"/>
      <c r="I23" s="2"/>
      <c r="J23" s="2"/>
      <c r="K23" s="2"/>
      <c r="L23" s="2"/>
    </row>
    <row r="24" customFormat="false" ht="15" hidden="false" customHeight="true" outlineLevel="0" collapsed="false">
      <c r="A24" s="2"/>
      <c r="B24" s="2"/>
      <c r="C24" s="2"/>
      <c r="D24" s="2"/>
      <c r="E24" s="2"/>
      <c r="F24" s="2"/>
      <c r="G24" s="2"/>
      <c r="H24" s="2"/>
      <c r="I24" s="2"/>
      <c r="J24" s="2"/>
      <c r="K24" s="2"/>
      <c r="L24" s="2"/>
    </row>
    <row r="25" customFormat="false" ht="15" hidden="false" customHeight="true" outlineLevel="0" collapsed="false">
      <c r="A25" s="2"/>
      <c r="B25" s="2"/>
      <c r="C25" s="2"/>
      <c r="D25" s="2"/>
      <c r="E25" s="2"/>
      <c r="F25" s="2"/>
      <c r="G25" s="2"/>
      <c r="H25" s="2"/>
      <c r="I25" s="2"/>
      <c r="J25" s="2"/>
      <c r="K25" s="2"/>
      <c r="L25" s="2"/>
    </row>
  </sheetData>
  <autoFilter ref="A2:L19"/>
  <mergeCells count="2">
    <mergeCell ref="A1:B1"/>
    <mergeCell ref="C1:J1"/>
  </mergeCells>
  <conditionalFormatting sqref="A3:L19">
    <cfRule type="expression" priority="2" aboveAverage="0" equalAverage="0" bottom="0" percent="0" rank="0" text="" dxfId="8">
      <formula>$H3="Done"</formula>
    </cfRule>
    <cfRule type="expression" priority="3" aboveAverage="0" equalAverage="0" bottom="0" percent="0" rank="0" text="" dxfId="9">
      <formula>$L3=MIN($L$3:$L$19)</formula>
    </cfRule>
    <cfRule type="expression" priority="4" aboveAverage="0" equalAverage="0" bottom="0" percent="0" rank="0" text="" dxfId="10">
      <formula>$H3="Blocked"</formula>
    </cfRule>
    <cfRule type="expression" priority="5" aboveAverage="0" equalAverage="0" bottom="0" percent="0" rank="0" text="" dxfId="11">
      <formula>$H3="In progress"</formula>
    </cfRule>
    <cfRule type="expression" priority="6" aboveAverage="0" equalAverage="0" bottom="0" percent="0" rank="0" text="" dxfId="12">
      <formula>$H3="Not started"</formula>
    </cfRule>
  </conditionalFormatting>
  <conditionalFormatting sqref="C3:C19">
    <cfRule type="expression" priority="7" aboveAverage="0" equalAverage="0" bottom="0" percent="0" rank="0" text="" dxfId="13">
      <formula>$H3="Done"</formula>
    </cfRule>
  </conditionalFormatting>
  <conditionalFormatting sqref="I3:I19">
    <cfRule type="expression" priority="8" aboveAverage="0" equalAverage="0" bottom="0" percent="0" rank="0" text="" dxfId="14">
      <formula>$K3="Yes"</formula>
    </cfRule>
  </conditionalFormatting>
  <conditionalFormatting sqref="K3:K19">
    <cfRule type="expression" priority="9" aboveAverage="0" equalAverage="0" bottom="0" percent="0" rank="0" text="" dxfId="14">
      <formula>$K3="Yes"</formula>
    </cfRule>
  </conditionalFormatting>
  <dataValidations count="4">
    <dataValidation allowBlank="true" error="Use the dropdown. Values live on the Config sheet." errorStyle="stop" errorTitle="Not a valid status" operator="between" prompt="Pick one: Not started, In progress, Blocked, Done.&#10;This one cell drives XP, level, badges, every progress bar and Next up." promptTitle="Status" showDropDown="false" showErrorMessage="true" showInputMessage="true" sqref="H3:H19" type="list">
      <formula1>Config!$B$5:$B$8</formula1>
      <formula2>0</formula2>
    </dataValidation>
    <dataValidation allowBlank="false" error="Whole numbers from 1 to 5 only." errorStyle="stop" errorTitle="Difficulty must be 1-5" operator="between" prompt="1 = mechanical, 5 = genuinely hard or high-consequence.&#10;Difficulty sets XP via the table on Config. Raise it if a task turns out harder than estimated - the XP follows automatically." promptTitle="Difficulty (1-5)" showDropDown="false" showErrorMessage="true" showInputMessage="true" sqref="F3:F19" type="whole">
      <formula1>1</formula1>
      <formula2>5</formula2>
    </dataValidation>
    <dataValidation allowBlank="false" error="Whole minutes between 5 and 240." errorStyle="stop" errorTitle="Out of range" operator="between" prompt="Your time, not the agents'. Whole minutes, 5 to 240.&#10;Everything here was scoped to 90 minutes or less - if a task needs more, split it into two rows instead of raising the number." promptTitle="Est. time (mins)" showDropDown="false" showErrorMessage="true" showInputMessage="true" sqref="E3:E19" type="whole">
      <formula1>5</formula1>
      <formula2>240</formula2>
    </dataValidation>
    <dataValidation allowBlank="true" error="Enter a single Task ID such as 3.7, or leave this blank." errorStyle="stop" errorTitle="One Task ID" operator="between" prompt="One Task ID, or leave blank. It may live on another track sheet - the lookup searches all four.&#10;Column K turns to Yes while that prerequisite is unfinished, and the row is skipped by Next up." promptTitle="Blocked by" showDropDown="false" showErrorMessage="true" showInputMessage="true" sqref="I3:I19" type="textLength">
      <formula1>0</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20"/>
    <col collapsed="false" customWidth="true" hidden="false" outlineLevel="0" max="5" min="4" style="1" width="66"/>
  </cols>
  <sheetData>
    <row r="1" customFormat="false" ht="33.75" hidden="false" customHeight="true" outlineLevel="0" collapsed="false">
      <c r="A1" s="2"/>
      <c r="B1" s="30" t="s">
        <v>520</v>
      </c>
      <c r="C1" s="30"/>
      <c r="D1" s="30"/>
      <c r="E1" s="30"/>
      <c r="F1" s="2"/>
    </row>
    <row r="2" customFormat="false" ht="21.75" hidden="false" customHeight="true" outlineLevel="0" collapsed="false">
      <c r="A2" s="2"/>
      <c r="B2" s="4" t="s">
        <v>521</v>
      </c>
      <c r="C2" s="4"/>
      <c r="D2" s="4"/>
      <c r="E2" s="4"/>
      <c r="F2" s="2"/>
    </row>
    <row r="3" customFormat="false" ht="21.75" hidden="false" customHeight="true" outlineLevel="0" collapsed="false">
      <c r="A3" s="2"/>
      <c r="B3" s="2"/>
      <c r="C3" s="2"/>
      <c r="D3" s="2"/>
      <c r="E3" s="2"/>
      <c r="F3" s="2"/>
    </row>
    <row r="4" customFormat="false" ht="27.75" hidden="false" customHeight="true" outlineLevel="0" collapsed="false">
      <c r="A4" s="2"/>
      <c r="B4" s="37" t="s">
        <v>522</v>
      </c>
      <c r="C4" s="37" t="s">
        <v>523</v>
      </c>
      <c r="D4" s="37" t="s">
        <v>524</v>
      </c>
      <c r="E4" s="37" t="s">
        <v>525</v>
      </c>
      <c r="F4" s="2"/>
    </row>
    <row r="5" customFormat="false" ht="56.25" hidden="false" customHeight="true" outlineLevel="0" collapsed="false">
      <c r="A5" s="2"/>
      <c r="B5" s="38" t="n">
        <v>1</v>
      </c>
      <c r="C5" s="39" t="s">
        <v>526</v>
      </c>
      <c r="D5" s="34" t="s">
        <v>527</v>
      </c>
      <c r="E5" s="40" t="s">
        <v>528</v>
      </c>
      <c r="F5" s="2"/>
    </row>
    <row r="6" customFormat="false" ht="56.25" hidden="false" customHeight="true" outlineLevel="0" collapsed="false">
      <c r="A6" s="2"/>
      <c r="B6" s="38" t="n">
        <v>2</v>
      </c>
      <c r="C6" s="39" t="s">
        <v>526</v>
      </c>
      <c r="D6" s="34" t="s">
        <v>529</v>
      </c>
      <c r="E6" s="40" t="s">
        <v>530</v>
      </c>
      <c r="F6" s="2"/>
    </row>
    <row r="7" customFormat="false" ht="40.5" hidden="false" customHeight="true" outlineLevel="0" collapsed="false">
      <c r="A7" s="2"/>
      <c r="B7" s="38" t="n">
        <v>3</v>
      </c>
      <c r="C7" s="39" t="s">
        <v>526</v>
      </c>
      <c r="D7" s="34" t="s">
        <v>531</v>
      </c>
      <c r="E7" s="40" t="s">
        <v>532</v>
      </c>
      <c r="F7" s="2"/>
    </row>
    <row r="8" customFormat="false" ht="87.75" hidden="false" customHeight="true" outlineLevel="0" collapsed="false">
      <c r="A8" s="2"/>
      <c r="B8" s="38" t="n">
        <v>4</v>
      </c>
      <c r="C8" s="39" t="s">
        <v>533</v>
      </c>
      <c r="D8" s="34" t="s">
        <v>534</v>
      </c>
      <c r="E8" s="40" t="s">
        <v>535</v>
      </c>
      <c r="F8" s="2"/>
    </row>
    <row r="9" customFormat="false" ht="56.25" hidden="false" customHeight="true" outlineLevel="0" collapsed="false">
      <c r="A9" s="2"/>
      <c r="B9" s="38" t="n">
        <v>5</v>
      </c>
      <c r="C9" s="39" t="s">
        <v>536</v>
      </c>
      <c r="D9" s="34" t="s">
        <v>537</v>
      </c>
      <c r="E9" s="40" t="s">
        <v>538</v>
      </c>
      <c r="F9" s="2"/>
    </row>
    <row r="10" customFormat="false" ht="40.5" hidden="false" customHeight="true" outlineLevel="0" collapsed="false">
      <c r="A10" s="2"/>
      <c r="B10" s="38" t="n">
        <v>6</v>
      </c>
      <c r="C10" s="39" t="s">
        <v>536</v>
      </c>
      <c r="D10" s="34" t="s">
        <v>539</v>
      </c>
      <c r="E10" s="40" t="s">
        <v>540</v>
      </c>
      <c r="F10" s="2"/>
    </row>
    <row r="11" customFormat="false" ht="40.5" hidden="false" customHeight="true" outlineLevel="0" collapsed="false">
      <c r="A11" s="2"/>
      <c r="B11" s="38" t="n">
        <v>7</v>
      </c>
      <c r="C11" s="39" t="s">
        <v>541</v>
      </c>
      <c r="D11" s="34" t="s">
        <v>542</v>
      </c>
      <c r="E11" s="40" t="s">
        <v>543</v>
      </c>
      <c r="F11" s="2"/>
    </row>
    <row r="12" customFormat="false" ht="56.25" hidden="false" customHeight="true" outlineLevel="0" collapsed="false">
      <c r="A12" s="2"/>
      <c r="B12" s="38" t="n">
        <v>8</v>
      </c>
      <c r="C12" s="39" t="s">
        <v>541</v>
      </c>
      <c r="D12" s="34" t="s">
        <v>544</v>
      </c>
      <c r="E12" s="40" t="s">
        <v>545</v>
      </c>
      <c r="F12" s="2"/>
    </row>
    <row r="13" customFormat="false" ht="72" hidden="false" customHeight="true" outlineLevel="0" collapsed="false">
      <c r="A13" s="2"/>
      <c r="B13" s="38" t="n">
        <v>9</v>
      </c>
      <c r="C13" s="39" t="s">
        <v>546</v>
      </c>
      <c r="D13" s="34" t="s">
        <v>547</v>
      </c>
      <c r="E13" s="40" t="s">
        <v>548</v>
      </c>
      <c r="F13" s="2"/>
    </row>
    <row r="14" customFormat="false" ht="72" hidden="false" customHeight="true" outlineLevel="0" collapsed="false">
      <c r="A14" s="2"/>
      <c r="B14" s="38" t="n">
        <v>10</v>
      </c>
      <c r="C14" s="39" t="s">
        <v>546</v>
      </c>
      <c r="D14" s="34" t="s">
        <v>549</v>
      </c>
      <c r="E14" s="40" t="s">
        <v>550</v>
      </c>
      <c r="F14" s="2"/>
    </row>
    <row r="15" customFormat="false" ht="40.5" hidden="false" customHeight="true" outlineLevel="0" collapsed="false">
      <c r="A15" s="2"/>
      <c r="B15" s="38" t="n">
        <v>11</v>
      </c>
      <c r="C15" s="39" t="s">
        <v>551</v>
      </c>
      <c r="D15" s="34" t="s">
        <v>552</v>
      </c>
      <c r="E15" s="40" t="s">
        <v>553</v>
      </c>
      <c r="F15" s="2"/>
    </row>
    <row r="16" customFormat="false" ht="56.25" hidden="false" customHeight="true" outlineLevel="0" collapsed="false">
      <c r="A16" s="2"/>
      <c r="B16" s="38" t="n">
        <v>12</v>
      </c>
      <c r="C16" s="39" t="s">
        <v>554</v>
      </c>
      <c r="D16" s="34" t="s">
        <v>555</v>
      </c>
      <c r="E16" s="40" t="s">
        <v>556</v>
      </c>
      <c r="F16" s="2"/>
    </row>
    <row r="17" customFormat="false" ht="56.25" hidden="false" customHeight="true" outlineLevel="0" collapsed="false">
      <c r="A17" s="2"/>
      <c r="B17" s="38" t="n">
        <v>13</v>
      </c>
      <c r="C17" s="39" t="s">
        <v>58</v>
      </c>
      <c r="D17" s="34" t="s">
        <v>557</v>
      </c>
      <c r="E17" s="40" t="s">
        <v>558</v>
      </c>
      <c r="F17" s="2"/>
    </row>
    <row r="18" customFormat="false" ht="40.5" hidden="false" customHeight="true" outlineLevel="0" collapsed="false">
      <c r="A18" s="2"/>
      <c r="B18" s="38" t="n">
        <v>14</v>
      </c>
      <c r="C18" s="39" t="s">
        <v>58</v>
      </c>
      <c r="D18" s="34" t="s">
        <v>559</v>
      </c>
      <c r="E18" s="40" t="s">
        <v>560</v>
      </c>
      <c r="F18" s="2"/>
    </row>
    <row r="19" customFormat="false" ht="40.5" hidden="false" customHeight="true" outlineLevel="0" collapsed="false">
      <c r="A19" s="2"/>
      <c r="B19" s="38" t="n">
        <v>15</v>
      </c>
      <c r="C19" s="39" t="s">
        <v>561</v>
      </c>
      <c r="D19" s="34" t="s">
        <v>562</v>
      </c>
      <c r="E19" s="40" t="s">
        <v>563</v>
      </c>
      <c r="F19" s="2"/>
    </row>
    <row r="20" customFormat="false" ht="72" hidden="false" customHeight="true" outlineLevel="0" collapsed="false">
      <c r="A20" s="2"/>
      <c r="B20" s="38" t="n">
        <v>16</v>
      </c>
      <c r="C20" s="39" t="s">
        <v>533</v>
      </c>
      <c r="D20" s="34" t="s">
        <v>564</v>
      </c>
      <c r="E20" s="40" t="s">
        <v>565</v>
      </c>
      <c r="F20" s="2"/>
    </row>
    <row r="21" customFormat="false" ht="56.25" hidden="false" customHeight="true" outlineLevel="0" collapsed="false">
      <c r="A21" s="2"/>
      <c r="B21" s="38" t="n">
        <v>17</v>
      </c>
      <c r="C21" s="39" t="s">
        <v>566</v>
      </c>
      <c r="D21" s="34" t="s">
        <v>567</v>
      </c>
      <c r="E21" s="40" t="s">
        <v>568</v>
      </c>
      <c r="F21" s="2"/>
    </row>
    <row r="22" customFormat="false" ht="56.25" hidden="false" customHeight="true" outlineLevel="0" collapsed="false">
      <c r="A22" s="2"/>
      <c r="B22" s="38" t="n">
        <v>18</v>
      </c>
      <c r="C22" s="39" t="s">
        <v>569</v>
      </c>
      <c r="D22" s="34" t="s">
        <v>570</v>
      </c>
      <c r="E22" s="40" t="s">
        <v>571</v>
      </c>
      <c r="F22" s="2"/>
    </row>
    <row r="23" customFormat="false" ht="56.25" hidden="false" customHeight="true" outlineLevel="0" collapsed="false">
      <c r="A23" s="2"/>
      <c r="B23" s="38" t="n">
        <v>19</v>
      </c>
      <c r="C23" s="39" t="s">
        <v>572</v>
      </c>
      <c r="D23" s="34" t="s">
        <v>573</v>
      </c>
      <c r="E23" s="40" t="s">
        <v>574</v>
      </c>
      <c r="F23" s="2"/>
    </row>
    <row r="24" customFormat="false" ht="40.5" hidden="false" customHeight="true" outlineLevel="0" collapsed="false">
      <c r="A24" s="2"/>
      <c r="B24" s="38" t="n">
        <v>20</v>
      </c>
      <c r="C24" s="39" t="s">
        <v>575</v>
      </c>
      <c r="D24" s="34" t="s">
        <v>576</v>
      </c>
      <c r="E24" s="40" t="s">
        <v>577</v>
      </c>
      <c r="F24" s="2"/>
    </row>
    <row r="25" customFormat="false" ht="56.25" hidden="false" customHeight="true" outlineLevel="0" collapsed="false">
      <c r="A25" s="2"/>
      <c r="B25" s="38" t="n">
        <v>21</v>
      </c>
      <c r="C25" s="39" t="s">
        <v>578</v>
      </c>
      <c r="D25" s="34" t="s">
        <v>579</v>
      </c>
      <c r="E25" s="40" t="s">
        <v>580</v>
      </c>
      <c r="F25" s="2"/>
    </row>
    <row r="26" customFormat="false" ht="40.5" hidden="false" customHeight="true" outlineLevel="0" collapsed="false">
      <c r="A26" s="2"/>
      <c r="B26" s="38" t="n">
        <v>22</v>
      </c>
      <c r="C26" s="39" t="s">
        <v>578</v>
      </c>
      <c r="D26" s="34" t="s">
        <v>581</v>
      </c>
      <c r="E26" s="40" t="s">
        <v>582</v>
      </c>
      <c r="F26" s="2"/>
    </row>
    <row r="27" customFormat="false" ht="40.5" hidden="false" customHeight="true" outlineLevel="0" collapsed="false">
      <c r="A27" s="2"/>
      <c r="B27" s="38" t="n">
        <v>23</v>
      </c>
      <c r="C27" s="39" t="s">
        <v>583</v>
      </c>
      <c r="D27" s="34" t="s">
        <v>584</v>
      </c>
      <c r="E27" s="40" t="s">
        <v>585</v>
      </c>
      <c r="F27" s="2"/>
    </row>
    <row r="28" customFormat="false" ht="40.5" hidden="false" customHeight="true" outlineLevel="0" collapsed="false">
      <c r="A28" s="2"/>
      <c r="B28" s="38" t="n">
        <v>24</v>
      </c>
      <c r="C28" s="39" t="s">
        <v>586</v>
      </c>
      <c r="D28" s="34" t="s">
        <v>587</v>
      </c>
      <c r="E28" s="40" t="s">
        <v>588</v>
      </c>
      <c r="F28" s="2"/>
    </row>
    <row r="29" customFormat="false" ht="56.25" hidden="false" customHeight="true" outlineLevel="0" collapsed="false">
      <c r="A29" s="2"/>
      <c r="B29" s="38" t="n">
        <v>25</v>
      </c>
      <c r="C29" s="39" t="s">
        <v>589</v>
      </c>
      <c r="D29" s="34" t="s">
        <v>590</v>
      </c>
      <c r="E29" s="40" t="s">
        <v>591</v>
      </c>
      <c r="F29" s="2"/>
    </row>
    <row r="30" customFormat="false" ht="56.25" hidden="false" customHeight="true" outlineLevel="0" collapsed="false">
      <c r="A30" s="2"/>
      <c r="B30" s="38" t="n">
        <v>26</v>
      </c>
      <c r="C30" s="39" t="s">
        <v>589</v>
      </c>
      <c r="D30" s="34" t="s">
        <v>592</v>
      </c>
      <c r="E30" s="40" t="s">
        <v>593</v>
      </c>
      <c r="F30" s="2"/>
    </row>
    <row r="31" customFormat="false" ht="56.25" hidden="false" customHeight="true" outlineLevel="0" collapsed="false">
      <c r="A31" s="2"/>
      <c r="B31" s="38" t="n">
        <v>27</v>
      </c>
      <c r="C31" s="39" t="s">
        <v>594</v>
      </c>
      <c r="D31" s="34" t="s">
        <v>595</v>
      </c>
      <c r="E31" s="40" t="s">
        <v>596</v>
      </c>
      <c r="F31" s="2"/>
    </row>
    <row r="32" customFormat="false" ht="56.25" hidden="false" customHeight="true" outlineLevel="0" collapsed="false">
      <c r="A32" s="2"/>
      <c r="B32" s="38" t="n">
        <v>28</v>
      </c>
      <c r="C32" s="39" t="s">
        <v>597</v>
      </c>
      <c r="D32" s="34" t="s">
        <v>598</v>
      </c>
      <c r="E32" s="40" t="s">
        <v>599</v>
      </c>
      <c r="F32" s="2"/>
    </row>
    <row r="33" customFormat="false" ht="40.5" hidden="false" customHeight="true" outlineLevel="0" collapsed="false">
      <c r="A33" s="2"/>
      <c r="B33" s="38" t="n">
        <v>29</v>
      </c>
      <c r="C33" s="39" t="s">
        <v>600</v>
      </c>
      <c r="D33" s="34" t="s">
        <v>601</v>
      </c>
      <c r="E33" s="40" t="s">
        <v>602</v>
      </c>
      <c r="F33" s="2"/>
    </row>
    <row r="34" customFormat="false" ht="56.25" hidden="false" customHeight="true" outlineLevel="0" collapsed="false">
      <c r="A34" s="2"/>
      <c r="B34" s="38" t="n">
        <v>30</v>
      </c>
      <c r="C34" s="39" t="s">
        <v>603</v>
      </c>
      <c r="D34" s="34" t="s">
        <v>604</v>
      </c>
      <c r="E34" s="40" t="s">
        <v>605</v>
      </c>
      <c r="F34" s="2"/>
    </row>
    <row r="35" customFormat="false" ht="40.5" hidden="false" customHeight="true" outlineLevel="0" collapsed="false">
      <c r="A35" s="2"/>
      <c r="B35" s="38" t="n">
        <v>31</v>
      </c>
      <c r="C35" s="39" t="s">
        <v>606</v>
      </c>
      <c r="D35" s="34" t="s">
        <v>607</v>
      </c>
      <c r="E35" s="40" t="s">
        <v>608</v>
      </c>
      <c r="F35" s="2"/>
    </row>
    <row r="36" customFormat="false" ht="40.5" hidden="false" customHeight="true" outlineLevel="0" collapsed="false">
      <c r="A36" s="2"/>
      <c r="B36" s="38" t="n">
        <v>32</v>
      </c>
      <c r="C36" s="39" t="s">
        <v>541</v>
      </c>
      <c r="D36" s="34" t="s">
        <v>609</v>
      </c>
      <c r="E36" s="40" t="s">
        <v>610</v>
      </c>
      <c r="F36" s="2"/>
    </row>
    <row r="37" customFormat="false" ht="56.25" hidden="false" customHeight="true" outlineLevel="0" collapsed="false">
      <c r="A37" s="2"/>
      <c r="B37" s="38" t="n">
        <v>33</v>
      </c>
      <c r="C37" s="39" t="s">
        <v>611</v>
      </c>
      <c r="D37" s="34" t="s">
        <v>612</v>
      </c>
      <c r="E37" s="40" t="s">
        <v>613</v>
      </c>
      <c r="F37" s="2"/>
    </row>
    <row r="38" customFormat="false" ht="40.5" hidden="false" customHeight="true" outlineLevel="0" collapsed="false">
      <c r="A38" s="2"/>
      <c r="B38" s="38" t="n">
        <v>34</v>
      </c>
      <c r="C38" s="39" t="s">
        <v>614</v>
      </c>
      <c r="D38" s="34" t="s">
        <v>615</v>
      </c>
      <c r="E38" s="40" t="s">
        <v>616</v>
      </c>
      <c r="F38" s="2"/>
    </row>
    <row r="39" customFormat="false" ht="21.75" hidden="false" customHeight="true" outlineLevel="0" collapsed="false">
      <c r="A39" s="2"/>
      <c r="B39" s="2"/>
      <c r="C39" s="2"/>
      <c r="D39" s="2"/>
      <c r="E39" s="2"/>
      <c r="F39" s="2"/>
    </row>
    <row r="40" customFormat="false" ht="21.75" hidden="false" customHeight="true" outlineLevel="0" collapsed="false">
      <c r="A40" s="2"/>
      <c r="B40" s="2"/>
      <c r="C40" s="2"/>
      <c r="D40" s="2"/>
      <c r="E40" s="2"/>
      <c r="F40" s="2"/>
    </row>
    <row r="41" customFormat="false" ht="21.75" hidden="false" customHeight="true" outlineLevel="0" collapsed="false">
      <c r="A41" s="2"/>
      <c r="B41" s="2"/>
      <c r="C41" s="2"/>
      <c r="D41" s="2"/>
      <c r="E41" s="2"/>
      <c r="F41" s="2"/>
    </row>
    <row r="42" customFormat="false" ht="21.75" hidden="false" customHeight="true" outlineLevel="0" collapsed="false">
      <c r="A42" s="2"/>
      <c r="B42" s="2"/>
      <c r="C42" s="2"/>
      <c r="D42" s="2"/>
      <c r="E42" s="2"/>
      <c r="F42" s="2"/>
    </row>
    <row r="43" customFormat="false" ht="21.75" hidden="false" customHeight="true" outlineLevel="0" collapsed="false">
      <c r="A43" s="2"/>
      <c r="B43" s="2"/>
      <c r="C43" s="2"/>
      <c r="D43" s="2"/>
      <c r="E43" s="2"/>
      <c r="F43" s="2"/>
    </row>
    <row r="44" customFormat="false" ht="21.75" hidden="false" customHeight="true" outlineLevel="0" collapsed="false">
      <c r="A44" s="2"/>
      <c r="B44" s="2"/>
      <c r="C44" s="2"/>
      <c r="D44" s="2"/>
      <c r="E44" s="2"/>
      <c r="F44" s="2"/>
    </row>
  </sheetData>
  <mergeCells count="2">
    <mergeCell ref="B1:E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4" min="3" style="1" width="16"/>
    <col collapsed="false" customWidth="true" hidden="false" outlineLevel="0" max="5" min="5" style="1" width="14"/>
    <col collapsed="false" customWidth="true" hidden="false" outlineLevel="0" max="6" min="6" style="1" width="18"/>
    <col collapsed="false" customWidth="true" hidden="false" outlineLevel="0" max="7" min="7" style="1" width="54"/>
  </cols>
  <sheetData>
    <row r="1" customFormat="false" ht="33.75" hidden="false" customHeight="true" outlineLevel="0" collapsed="false">
      <c r="A1" s="2"/>
      <c r="B1" s="41" t="s">
        <v>617</v>
      </c>
      <c r="C1" s="2"/>
      <c r="D1" s="2"/>
      <c r="E1" s="2"/>
      <c r="F1" s="2"/>
      <c r="G1" s="2"/>
      <c r="H1" s="2"/>
    </row>
    <row r="2" customFormat="false" ht="21.75" hidden="false" customHeight="true" outlineLevel="0" collapsed="false">
      <c r="A2" s="2"/>
      <c r="B2" s="42" t="s">
        <v>618</v>
      </c>
      <c r="C2" s="2"/>
      <c r="D2" s="2"/>
      <c r="E2" s="2"/>
      <c r="F2" s="2"/>
      <c r="G2" s="2"/>
      <c r="H2" s="2"/>
    </row>
    <row r="3" customFormat="false" ht="21.75" hidden="false" customHeight="true" outlineLevel="0" collapsed="false">
      <c r="A3" s="2"/>
      <c r="B3" s="2"/>
      <c r="C3" s="2"/>
      <c r="D3" s="2"/>
      <c r="E3" s="2"/>
      <c r="F3" s="2"/>
      <c r="G3" s="2"/>
      <c r="H3" s="2"/>
    </row>
    <row r="4" customFormat="false" ht="21.75" hidden="false" customHeight="true" outlineLevel="0" collapsed="false">
      <c r="A4" s="2"/>
      <c r="B4" s="43" t="s">
        <v>572</v>
      </c>
      <c r="C4" s="2"/>
      <c r="D4" s="43" t="s">
        <v>619</v>
      </c>
      <c r="E4" s="43" t="s">
        <v>620</v>
      </c>
      <c r="F4" s="4" t="s">
        <v>621</v>
      </c>
      <c r="G4" s="4"/>
      <c r="H4" s="2"/>
    </row>
    <row r="5" customFormat="false" ht="21.75" hidden="false" customHeight="true" outlineLevel="0" collapsed="false">
      <c r="A5" s="2"/>
      <c r="B5" s="2" t="s">
        <v>247</v>
      </c>
      <c r="C5" s="2"/>
      <c r="D5" s="2" t="n">
        <v>1</v>
      </c>
      <c r="E5" s="2" t="n">
        <v>4</v>
      </c>
      <c r="F5" s="2"/>
      <c r="G5" s="2"/>
      <c r="H5" s="2"/>
    </row>
    <row r="6" customFormat="false" ht="21.75" hidden="false" customHeight="true" outlineLevel="0" collapsed="false">
      <c r="A6" s="2"/>
      <c r="B6" s="2" t="s">
        <v>622</v>
      </c>
      <c r="C6" s="2"/>
      <c r="D6" s="2" t="n">
        <v>2</v>
      </c>
      <c r="E6" s="2" t="n">
        <v>7</v>
      </c>
      <c r="F6" s="2"/>
      <c r="G6" s="2"/>
      <c r="H6" s="2"/>
    </row>
    <row r="7" customFormat="false" ht="21.75" hidden="false" customHeight="true" outlineLevel="0" collapsed="false">
      <c r="A7" s="2"/>
      <c r="B7" s="2" t="s">
        <v>623</v>
      </c>
      <c r="C7" s="2"/>
      <c r="D7" s="2" t="n">
        <v>3</v>
      </c>
      <c r="E7" s="2" t="n">
        <v>11</v>
      </c>
      <c r="F7" s="2"/>
      <c r="G7" s="2"/>
      <c r="H7" s="2"/>
    </row>
    <row r="8" customFormat="false" ht="21.75" hidden="false" customHeight="true" outlineLevel="0" collapsed="false">
      <c r="A8" s="2"/>
      <c r="B8" s="2" t="s">
        <v>16</v>
      </c>
      <c r="C8" s="2"/>
      <c r="D8" s="2" t="n">
        <v>4</v>
      </c>
      <c r="E8" s="2" t="n">
        <v>17</v>
      </c>
      <c r="F8" s="2"/>
      <c r="G8" s="2"/>
      <c r="H8" s="2"/>
    </row>
    <row r="9" customFormat="false" ht="21.75" hidden="false" customHeight="true" outlineLevel="0" collapsed="false">
      <c r="A9" s="2"/>
      <c r="B9" s="2"/>
      <c r="C9" s="2"/>
      <c r="D9" s="2" t="n">
        <v>5</v>
      </c>
      <c r="E9" s="2" t="n">
        <v>25</v>
      </c>
      <c r="F9" s="2"/>
      <c r="G9" s="2"/>
      <c r="H9" s="2"/>
    </row>
    <row r="10" customFormat="false" ht="21.75" hidden="false" customHeight="true" outlineLevel="0" collapsed="false">
      <c r="A10" s="2"/>
      <c r="B10" s="43" t="s">
        <v>624</v>
      </c>
      <c r="C10" s="2" t="n">
        <v>5</v>
      </c>
      <c r="D10" s="2" t="n">
        <v>240</v>
      </c>
      <c r="E10" s="2"/>
      <c r="F10" s="2"/>
      <c r="G10" s="2"/>
      <c r="H10" s="2"/>
    </row>
    <row r="11" customFormat="false" ht="21.75" hidden="false" customHeight="true" outlineLevel="0" collapsed="false">
      <c r="A11" s="2"/>
      <c r="B11" s="2"/>
      <c r="C11" s="2"/>
      <c r="D11" s="2"/>
      <c r="E11" s="2"/>
      <c r="F11" s="2"/>
      <c r="G11" s="2"/>
      <c r="H11" s="2"/>
    </row>
    <row r="12" customFormat="false" ht="21.75" hidden="false" customHeight="true" outlineLevel="0" collapsed="false">
      <c r="A12" s="2"/>
      <c r="B12" s="43" t="s">
        <v>625</v>
      </c>
      <c r="C12" s="2"/>
      <c r="D12" s="2"/>
      <c r="E12" s="2"/>
      <c r="F12" s="2"/>
      <c r="G12" s="2"/>
      <c r="H12" s="2"/>
    </row>
    <row r="13" customFormat="false" ht="21.75" hidden="false" customHeight="true" outlineLevel="0" collapsed="false">
      <c r="A13" s="2"/>
      <c r="B13" s="2" t="s">
        <v>5</v>
      </c>
      <c r="C13" s="44" t="n">
        <f aca="false">SUM(Setup!$G$3:$G$62)+SUM('App 1'!$G$3:$G$31)+SUM('App 2'!$G$3:$G$11)+SUM(Documentation!$G$3:$G$19)</f>
        <v>993</v>
      </c>
      <c r="D13" s="2"/>
      <c r="E13" s="2"/>
      <c r="F13" s="2"/>
      <c r="G13" s="2"/>
      <c r="H13" s="2"/>
    </row>
    <row r="14" customFormat="false" ht="21.75" hidden="false" customHeight="true" outlineLevel="0" collapsed="false">
      <c r="A14" s="2"/>
      <c r="B14" s="2" t="s">
        <v>4</v>
      </c>
      <c r="C14" s="44" t="n">
        <f aca="false">SUMIFS(Setup!$G$3:$G$62,Setup!$H$3:$H$62,"Done")+SUMIFS('App 1'!$G$3:$G$31,'App 1'!$H$3:$H$31,"Done")+SUMIFS('App 2'!$G$3:$G$11,'App 2'!$H$3:$H$11,"Done")+SUMIFS(Documentation!$G$3:$G$19,Documentation!$H$3:$H$19,"Done")</f>
        <v>337</v>
      </c>
      <c r="D14" s="2"/>
      <c r="E14" s="2"/>
      <c r="F14" s="2"/>
      <c r="G14" s="2"/>
      <c r="H14" s="2"/>
    </row>
    <row r="15" customFormat="false" ht="21.75" hidden="false" customHeight="true" outlineLevel="0" collapsed="false">
      <c r="A15" s="2"/>
      <c r="B15" s="2" t="s">
        <v>626</v>
      </c>
      <c r="C15" s="44" t="n">
        <f aca="false">MATCH($C$14,$D$19:$D$26,1)</f>
        <v>3</v>
      </c>
      <c r="D15" s="2"/>
      <c r="E15" s="2"/>
      <c r="F15" s="2"/>
      <c r="G15" s="2"/>
      <c r="H15" s="2"/>
    </row>
    <row r="16" customFormat="false" ht="21.75" hidden="false" customHeight="true" outlineLevel="0" collapsed="false">
      <c r="A16" s="2"/>
      <c r="B16" s="2"/>
      <c r="C16" s="2"/>
      <c r="D16" s="2"/>
      <c r="E16" s="2"/>
      <c r="F16" s="2"/>
      <c r="G16" s="2"/>
      <c r="H16" s="2"/>
    </row>
    <row r="17" customFormat="false" ht="21.75" hidden="false" customHeight="true" outlineLevel="0" collapsed="false">
      <c r="A17" s="2"/>
      <c r="B17" s="2"/>
      <c r="C17" s="2"/>
      <c r="D17" s="2"/>
      <c r="E17" s="2"/>
      <c r="F17" s="2"/>
      <c r="G17" s="2"/>
      <c r="H17" s="2"/>
    </row>
    <row r="18" customFormat="false" ht="21.75" hidden="false" customHeight="true" outlineLevel="0" collapsed="false">
      <c r="A18" s="2"/>
      <c r="B18" s="43" t="s">
        <v>3</v>
      </c>
      <c r="C18" s="43" t="s">
        <v>627</v>
      </c>
      <c r="D18" s="43" t="s">
        <v>628</v>
      </c>
      <c r="E18" s="2"/>
      <c r="F18" s="45" t="s">
        <v>629</v>
      </c>
      <c r="G18" s="45"/>
      <c r="H18" s="2"/>
    </row>
    <row r="19" customFormat="false" ht="24" hidden="false" customHeight="true" outlineLevel="0" collapsed="false">
      <c r="A19" s="2"/>
      <c r="B19" s="2" t="s">
        <v>630</v>
      </c>
      <c r="C19" s="46" t="n">
        <v>0</v>
      </c>
      <c r="D19" s="47" t="n">
        <f aca="false">ROUND($C19*$C$13,0)</f>
        <v>0</v>
      </c>
      <c r="E19" s="2"/>
      <c r="F19" s="26" t="s">
        <v>631</v>
      </c>
      <c r="G19" s="26"/>
      <c r="H19" s="2"/>
    </row>
    <row r="20" customFormat="false" ht="24" hidden="false" customHeight="true" outlineLevel="0" collapsed="false">
      <c r="A20" s="2"/>
      <c r="B20" s="2" t="s">
        <v>632</v>
      </c>
      <c r="C20" s="46" t="n">
        <v>0.08</v>
      </c>
      <c r="D20" s="47" t="n">
        <f aca="false">ROUND($C20*$C$13,0)</f>
        <v>79</v>
      </c>
      <c r="E20" s="2"/>
      <c r="F20" s="26" t="s">
        <v>633</v>
      </c>
      <c r="G20" s="26"/>
      <c r="H20" s="2"/>
    </row>
    <row r="21" customFormat="false" ht="24" hidden="false" customHeight="true" outlineLevel="0" collapsed="false">
      <c r="A21" s="2"/>
      <c r="B21" s="2" t="s">
        <v>634</v>
      </c>
      <c r="C21" s="46" t="n">
        <v>0.2</v>
      </c>
      <c r="D21" s="47" t="n">
        <f aca="false">ROUND($C21*$C$13,0)</f>
        <v>199</v>
      </c>
      <c r="E21" s="2"/>
      <c r="F21" s="26" t="s">
        <v>635</v>
      </c>
      <c r="G21" s="26"/>
      <c r="H21" s="2"/>
    </row>
    <row r="22" customFormat="false" ht="24" hidden="false" customHeight="true" outlineLevel="0" collapsed="false">
      <c r="A22" s="2"/>
      <c r="B22" s="2" t="s">
        <v>636</v>
      </c>
      <c r="C22" s="46" t="n">
        <v>0.34</v>
      </c>
      <c r="D22" s="47" t="n">
        <f aca="false">ROUND($C22*$C$13,0)</f>
        <v>338</v>
      </c>
      <c r="E22" s="2"/>
      <c r="F22" s="26" t="s">
        <v>637</v>
      </c>
      <c r="G22" s="26"/>
      <c r="H22" s="2"/>
    </row>
    <row r="23" customFormat="false" ht="24" hidden="false" customHeight="true" outlineLevel="0" collapsed="false">
      <c r="A23" s="2"/>
      <c r="B23" s="2" t="s">
        <v>638</v>
      </c>
      <c r="C23" s="46" t="n">
        <v>0.5</v>
      </c>
      <c r="D23" s="47" t="n">
        <f aca="false">ROUND($C23*$C$13,0)</f>
        <v>497</v>
      </c>
      <c r="E23" s="2"/>
      <c r="F23" s="26" t="s">
        <v>639</v>
      </c>
      <c r="G23" s="26"/>
      <c r="H23" s="2"/>
    </row>
    <row r="24" customFormat="false" ht="24" hidden="false" customHeight="true" outlineLevel="0" collapsed="false">
      <c r="A24" s="2"/>
      <c r="B24" s="2" t="s">
        <v>640</v>
      </c>
      <c r="C24" s="46" t="n">
        <v>0.66</v>
      </c>
      <c r="D24" s="47" t="n">
        <f aca="false">ROUND($C24*$C$13,0)</f>
        <v>655</v>
      </c>
      <c r="E24" s="2"/>
      <c r="F24" s="26" t="s">
        <v>641</v>
      </c>
      <c r="G24" s="26"/>
      <c r="H24" s="2"/>
    </row>
    <row r="25" customFormat="false" ht="24" hidden="false" customHeight="true" outlineLevel="0" collapsed="false">
      <c r="A25" s="2"/>
      <c r="B25" s="2" t="s">
        <v>642</v>
      </c>
      <c r="C25" s="46" t="n">
        <v>0.82</v>
      </c>
      <c r="D25" s="47" t="n">
        <f aca="false">ROUND($C25*$C$13,0)</f>
        <v>814</v>
      </c>
      <c r="E25" s="2"/>
      <c r="F25" s="26" t="s">
        <v>643</v>
      </c>
      <c r="G25" s="26"/>
      <c r="H25" s="2"/>
    </row>
    <row r="26" customFormat="false" ht="24" hidden="false" customHeight="true" outlineLevel="0" collapsed="false">
      <c r="A26" s="2"/>
      <c r="B26" s="2" t="s">
        <v>644</v>
      </c>
      <c r="C26" s="46" t="n">
        <v>0.97</v>
      </c>
      <c r="D26" s="47" t="n">
        <f aca="false">ROUND($C26*$C$13,0)</f>
        <v>963</v>
      </c>
      <c r="E26" s="2"/>
      <c r="F26" s="26" t="s">
        <v>645</v>
      </c>
      <c r="G26" s="26"/>
      <c r="H26" s="2"/>
    </row>
    <row r="27" customFormat="false" ht="21.75" hidden="false" customHeight="true" outlineLevel="0" collapsed="false">
      <c r="A27" s="2"/>
      <c r="B27" s="2"/>
      <c r="C27" s="2"/>
      <c r="D27" s="2"/>
      <c r="E27" s="2"/>
      <c r="F27" s="2"/>
      <c r="G27" s="2"/>
      <c r="H27" s="2"/>
    </row>
    <row r="28" customFormat="false" ht="21.75" hidden="false" customHeight="true" outlineLevel="0" collapsed="false">
      <c r="A28" s="2"/>
      <c r="B28" s="43" t="s">
        <v>14</v>
      </c>
      <c r="C28" s="43" t="s">
        <v>646</v>
      </c>
      <c r="D28" s="43" t="s">
        <v>647</v>
      </c>
      <c r="E28" s="43" t="s">
        <v>648</v>
      </c>
      <c r="F28" s="45" t="s">
        <v>649</v>
      </c>
      <c r="G28" s="45"/>
      <c r="H28" s="2"/>
    </row>
    <row r="29" customFormat="false" ht="21.75" hidden="false" customHeight="true" outlineLevel="0" collapsed="false">
      <c r="A29" s="2"/>
      <c r="B29" s="2" t="s">
        <v>20</v>
      </c>
      <c r="C29" s="25" t="s">
        <v>20</v>
      </c>
      <c r="D29" s="2" t="n">
        <v>3</v>
      </c>
      <c r="E29" s="2" t="n">
        <v>62</v>
      </c>
      <c r="F29" s="26" t="s">
        <v>650</v>
      </c>
      <c r="G29" s="26"/>
      <c r="H29" s="2"/>
    </row>
    <row r="30" customFormat="false" ht="21.75" hidden="false" customHeight="true" outlineLevel="0" collapsed="false">
      <c r="A30" s="2"/>
      <c r="B30" s="2" t="s">
        <v>21</v>
      </c>
      <c r="C30" s="25" t="s">
        <v>21</v>
      </c>
      <c r="D30" s="2" t="n">
        <v>3</v>
      </c>
      <c r="E30" s="2" t="n">
        <v>31</v>
      </c>
      <c r="F30" s="26" t="s">
        <v>651</v>
      </c>
      <c r="G30" s="26"/>
      <c r="H30" s="2"/>
    </row>
    <row r="31" customFormat="false" ht="21.75" hidden="false" customHeight="true" outlineLevel="0" collapsed="false">
      <c r="A31" s="2"/>
      <c r="B31" s="2" t="s">
        <v>22</v>
      </c>
      <c r="C31" s="25" t="s">
        <v>22</v>
      </c>
      <c r="D31" s="2" t="n">
        <v>3</v>
      </c>
      <c r="E31" s="2" t="n">
        <v>11</v>
      </c>
      <c r="F31" s="26" t="s">
        <v>652</v>
      </c>
      <c r="G31" s="26"/>
      <c r="H31" s="2"/>
    </row>
    <row r="32" customFormat="false" ht="21.75" hidden="false" customHeight="true" outlineLevel="0" collapsed="false">
      <c r="A32" s="2"/>
      <c r="B32" s="2" t="s">
        <v>23</v>
      </c>
      <c r="C32" s="25" t="s">
        <v>23</v>
      </c>
      <c r="D32" s="2" t="n">
        <v>3</v>
      </c>
      <c r="E32" s="2" t="n">
        <v>19</v>
      </c>
      <c r="F32" s="26" t="s">
        <v>653</v>
      </c>
      <c r="G32" s="26"/>
      <c r="H32" s="2"/>
    </row>
    <row r="33" customFormat="false" ht="21.75" hidden="false" customHeight="true" outlineLevel="0" collapsed="false">
      <c r="A33" s="2"/>
      <c r="B33" s="2"/>
      <c r="C33" s="2"/>
      <c r="D33" s="2"/>
      <c r="E33" s="2"/>
      <c r="F33" s="2"/>
      <c r="G33" s="2"/>
      <c r="H33" s="2"/>
    </row>
    <row r="34" customFormat="false" ht="21.75" hidden="false" customHeight="true" outlineLevel="0" collapsed="false">
      <c r="A34" s="2"/>
      <c r="B34" s="43" t="s">
        <v>26</v>
      </c>
      <c r="C34" s="45" t="s">
        <v>14</v>
      </c>
      <c r="D34" s="45"/>
      <c r="E34" s="2"/>
      <c r="F34" s="2"/>
      <c r="G34" s="2"/>
      <c r="H34" s="2"/>
    </row>
    <row r="35" customFormat="false" ht="21.75" hidden="false" customHeight="true" outlineLevel="0" collapsed="false">
      <c r="A35" s="2"/>
      <c r="B35" s="2" t="s">
        <v>64</v>
      </c>
      <c r="C35" s="26" t="s">
        <v>20</v>
      </c>
      <c r="D35" s="26"/>
      <c r="E35" s="2"/>
      <c r="F35" s="2"/>
      <c r="G35" s="2"/>
      <c r="H35" s="2"/>
    </row>
    <row r="36" customFormat="false" ht="21.75" hidden="false" customHeight="true" outlineLevel="0" collapsed="false">
      <c r="A36" s="2"/>
      <c r="B36" s="2" t="s">
        <v>77</v>
      </c>
      <c r="C36" s="26" t="s">
        <v>20</v>
      </c>
      <c r="D36" s="26"/>
      <c r="E36" s="2"/>
      <c r="F36" s="2"/>
      <c r="G36" s="2"/>
      <c r="H36" s="2"/>
    </row>
    <row r="37" customFormat="false" ht="21.75" hidden="false" customHeight="true" outlineLevel="0" collapsed="false">
      <c r="A37" s="2"/>
      <c r="B37" s="2" t="s">
        <v>102</v>
      </c>
      <c r="C37" s="26" t="s">
        <v>20</v>
      </c>
      <c r="D37" s="26"/>
      <c r="E37" s="2"/>
      <c r="F37" s="2"/>
      <c r="G37" s="2"/>
      <c r="H37" s="2"/>
    </row>
    <row r="38" customFormat="false" ht="21.75" hidden="false" customHeight="true" outlineLevel="0" collapsed="false">
      <c r="A38" s="2"/>
      <c r="B38" s="2" t="s">
        <v>151</v>
      </c>
      <c r="C38" s="26" t="s">
        <v>20</v>
      </c>
      <c r="D38" s="26"/>
      <c r="E38" s="2"/>
      <c r="F38" s="2"/>
      <c r="G38" s="2"/>
      <c r="H38" s="2"/>
    </row>
    <row r="39" customFormat="false" ht="21.75" hidden="false" customHeight="true" outlineLevel="0" collapsed="false">
      <c r="A39" s="2"/>
      <c r="B39" s="2" t="s">
        <v>215</v>
      </c>
      <c r="C39" s="26" t="s">
        <v>20</v>
      </c>
      <c r="D39" s="26"/>
      <c r="E39" s="2"/>
      <c r="F39" s="2"/>
      <c r="G39" s="2"/>
      <c r="H39" s="2"/>
    </row>
    <row r="40" customFormat="false" ht="21.75" hidden="false" customHeight="true" outlineLevel="0" collapsed="false">
      <c r="A40" s="2"/>
      <c r="B40" s="2" t="s">
        <v>243</v>
      </c>
      <c r="C40" s="26" t="s">
        <v>20</v>
      </c>
      <c r="D40" s="26"/>
      <c r="E40" s="2"/>
      <c r="F40" s="2"/>
      <c r="G40" s="2"/>
      <c r="H40" s="2"/>
    </row>
    <row r="41" customFormat="false" ht="21.75" hidden="false" customHeight="true" outlineLevel="0" collapsed="false">
      <c r="A41" s="2"/>
      <c r="B41" s="2" t="s">
        <v>269</v>
      </c>
      <c r="C41" s="26" t="s">
        <v>20</v>
      </c>
      <c r="D41" s="26"/>
      <c r="E41" s="2"/>
      <c r="F41" s="2"/>
      <c r="G41" s="2"/>
      <c r="H41" s="2"/>
    </row>
    <row r="42" customFormat="false" ht="21.75" hidden="false" customHeight="true" outlineLevel="0" collapsed="false">
      <c r="A42" s="2"/>
      <c r="B42" s="2" t="s">
        <v>310</v>
      </c>
      <c r="C42" s="26" t="s">
        <v>21</v>
      </c>
      <c r="D42" s="26"/>
      <c r="E42" s="2"/>
      <c r="F42" s="2"/>
      <c r="G42" s="2"/>
      <c r="H42" s="2"/>
    </row>
    <row r="43" customFormat="false" ht="21.75" hidden="false" customHeight="true" outlineLevel="0" collapsed="false">
      <c r="A43" s="2"/>
      <c r="B43" s="2" t="s">
        <v>379</v>
      </c>
      <c r="C43" s="26" t="s">
        <v>21</v>
      </c>
      <c r="D43" s="26"/>
      <c r="E43" s="2"/>
      <c r="F43" s="2"/>
      <c r="G43" s="2"/>
      <c r="H43" s="2"/>
    </row>
    <row r="44" customFormat="false" ht="21.75" hidden="false" customHeight="true" outlineLevel="0" collapsed="false">
      <c r="A44" s="2"/>
      <c r="B44" s="2" t="s">
        <v>421</v>
      </c>
      <c r="C44" s="26" t="s">
        <v>22</v>
      </c>
      <c r="D44" s="26"/>
      <c r="E44" s="2"/>
      <c r="F44" s="2"/>
      <c r="G44" s="2"/>
      <c r="H44" s="2"/>
    </row>
    <row r="45" customFormat="false" ht="21.75" hidden="false" customHeight="true" outlineLevel="0" collapsed="false">
      <c r="A45" s="2"/>
      <c r="B45" s="2" t="s">
        <v>458</v>
      </c>
      <c r="C45" s="26" t="s">
        <v>23</v>
      </c>
      <c r="D45" s="26"/>
      <c r="E45" s="2"/>
      <c r="F45" s="2"/>
      <c r="G45" s="2"/>
      <c r="H45" s="2"/>
    </row>
    <row r="46" customFormat="false" ht="21.75" hidden="false" customHeight="true" outlineLevel="0" collapsed="false">
      <c r="A46" s="2"/>
      <c r="B46" s="2" t="s">
        <v>487</v>
      </c>
      <c r="C46" s="26" t="s">
        <v>23</v>
      </c>
      <c r="D46" s="26"/>
      <c r="E46" s="2"/>
      <c r="F46" s="2"/>
      <c r="G46" s="2"/>
      <c r="H46" s="2"/>
    </row>
    <row r="47" customFormat="false" ht="21.75" hidden="false" customHeight="true" outlineLevel="0" collapsed="false">
      <c r="A47" s="2"/>
      <c r="B47" s="2"/>
      <c r="C47" s="2"/>
      <c r="D47" s="2"/>
      <c r="E47" s="2"/>
      <c r="F47" s="2"/>
      <c r="G47" s="2"/>
      <c r="H47" s="2"/>
    </row>
    <row r="48" customFormat="false" ht="21.75" hidden="false" customHeight="true" outlineLevel="0" collapsed="false">
      <c r="A48" s="2"/>
      <c r="B48" s="2"/>
      <c r="C48" s="2"/>
      <c r="D48" s="2"/>
      <c r="E48" s="2"/>
      <c r="F48" s="2"/>
      <c r="G48" s="2"/>
      <c r="H48" s="2"/>
    </row>
    <row r="49" customFormat="false" ht="21.75" hidden="false" customHeight="true" outlineLevel="0" collapsed="false">
      <c r="A49" s="2"/>
      <c r="B49" s="2"/>
      <c r="C49" s="2"/>
      <c r="D49" s="2"/>
      <c r="E49" s="2"/>
      <c r="F49" s="2"/>
      <c r="G49" s="2"/>
      <c r="H49" s="2"/>
    </row>
    <row r="50" customFormat="false" ht="21.75" hidden="false" customHeight="true" outlineLevel="0" collapsed="false">
      <c r="A50" s="2"/>
      <c r="B50" s="2"/>
      <c r="C50" s="2"/>
      <c r="D50" s="2"/>
      <c r="E50" s="2"/>
      <c r="F50" s="2"/>
      <c r="G50" s="2"/>
      <c r="H50" s="2"/>
    </row>
    <row r="51" customFormat="false" ht="21.75" hidden="false" customHeight="true" outlineLevel="0" collapsed="false">
      <c r="A51" s="2"/>
      <c r="B51" s="2"/>
      <c r="C51" s="2"/>
      <c r="D51" s="2"/>
      <c r="E51" s="2"/>
      <c r="F51" s="2"/>
      <c r="G51" s="2"/>
      <c r="H51" s="2"/>
    </row>
  </sheetData>
  <mergeCells count="28">
    <mergeCell ref="F4:G4"/>
    <mergeCell ref="F18:G18"/>
    <mergeCell ref="F19:G19"/>
    <mergeCell ref="F20:G20"/>
    <mergeCell ref="F21:G21"/>
    <mergeCell ref="F22:G22"/>
    <mergeCell ref="F23:G23"/>
    <mergeCell ref="F24:G24"/>
    <mergeCell ref="F25:G25"/>
    <mergeCell ref="F26:G26"/>
    <mergeCell ref="F28:G28"/>
    <mergeCell ref="F29:G29"/>
    <mergeCell ref="F30:G30"/>
    <mergeCell ref="F31:G31"/>
    <mergeCell ref="F32:G32"/>
    <mergeCell ref="C34:D34"/>
    <mergeCell ref="C35:D35"/>
    <mergeCell ref="C36:D36"/>
    <mergeCell ref="C37:D37"/>
    <mergeCell ref="C38:D38"/>
    <mergeCell ref="C39:D39"/>
    <mergeCell ref="C40:D40"/>
    <mergeCell ref="C41:D41"/>
    <mergeCell ref="C42:D42"/>
    <mergeCell ref="C43:D43"/>
    <mergeCell ref="C44:D44"/>
    <mergeCell ref="C45:D45"/>
    <mergeCell ref="C46:D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2026-08-09T12:19:04Z</dcterms:created>
  <dc:creator>openpyxl</dc:creator>
  <dc:description/>
  <dc:language>en-US</dc:language>
  <cp:lastModifiedBy/>
  <dcterms:modified xsi:type="dcterms:W3CDTF">2026-08-09T15:26:21Z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